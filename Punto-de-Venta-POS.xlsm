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xr:revisionPtr revIDLastSave="0" documentId="13_ncr:1_{945DD524-6919-4DA3-BF0E-57CDC5D2AC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S" sheetId="1" r:id="rId1"/>
    <sheet name="Items" sheetId="2" r:id="rId2"/>
    <sheet name="Sales" sheetId="3" r:id="rId3"/>
    <sheet name="Empresa" sheetId="4" r:id="rId4"/>
  </sheets>
  <definedNames>
    <definedName name="_xlnm.Print_Area" localSheetId="0">POS!$K$1:$N$22</definedName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D4" i="1" l="1"/>
  <c r="K4" i="1"/>
  <c r="K3" i="1"/>
  <c r="K2" i="1"/>
  <c r="M6" i="1" l="1"/>
  <c r="B5" i="1"/>
  <c r="I3" i="1" l="1"/>
  <c r="S3" i="1" s="1"/>
  <c r="I4" i="1" l="1"/>
  <c r="S4" i="1" s="1"/>
  <c r="I5" i="1" l="1"/>
  <c r="S5" i="1" s="1"/>
  <c r="I8" i="1" l="1"/>
  <c r="S7" i="1" s="1"/>
</calcChain>
</file>

<file path=xl/sharedStrings.xml><?xml version="1.0" encoding="utf-8"?>
<sst xmlns="http://schemas.openxmlformats.org/spreadsheetml/2006/main" count="61" uniqueCount="47">
  <si>
    <t>Items</t>
  </si>
  <si>
    <t>Subtotal:</t>
  </si>
  <si>
    <t>Total</t>
  </si>
  <si>
    <t>Total:</t>
  </si>
  <si>
    <t>Item</t>
  </si>
  <si>
    <t>Qty</t>
  </si>
  <si>
    <t>Rec. #</t>
  </si>
  <si>
    <t>Ticket de Venta</t>
  </si>
  <si>
    <t>Nombre</t>
  </si>
  <si>
    <t>Dirección</t>
  </si>
  <si>
    <t>Teléfono</t>
  </si>
  <si>
    <t>Ticket Nro #:</t>
  </si>
  <si>
    <t>Fecha:</t>
  </si>
  <si>
    <t>Cajero</t>
  </si>
  <si>
    <t>Producto</t>
  </si>
  <si>
    <t>Cant</t>
  </si>
  <si>
    <t>Precio</t>
  </si>
  <si>
    <t>Impuestos</t>
  </si>
  <si>
    <t>Código Producto:</t>
  </si>
  <si>
    <t>Impuestos:</t>
  </si>
  <si>
    <t>Pago recibido:</t>
  </si>
  <si>
    <t>Cambio</t>
  </si>
  <si>
    <t>Siguiente Ticket #</t>
  </si>
  <si>
    <t>Fila de Producto</t>
  </si>
  <si>
    <t>Cargar Producto</t>
  </si>
  <si>
    <t>Fila de Ticket</t>
  </si>
  <si>
    <t>PUNTO DE VENTA EXCEL POS</t>
  </si>
  <si>
    <t>IVA</t>
  </si>
  <si>
    <t>Cantidad:</t>
  </si>
  <si>
    <t>Precio:</t>
  </si>
  <si>
    <t>Forma de Pago</t>
  </si>
  <si>
    <t>Importe pagado</t>
  </si>
  <si>
    <t>Visa</t>
  </si>
  <si>
    <t>Descripción</t>
  </si>
  <si>
    <t>Cod Prod</t>
  </si>
  <si>
    <t>No mover</t>
  </si>
  <si>
    <t>Ticket Nro</t>
  </si>
  <si>
    <t>Familia</t>
  </si>
  <si>
    <t>Bar Code</t>
  </si>
  <si>
    <t>Recambios Laguna</t>
  </si>
  <si>
    <t>C/ Ramón y Cajal, 21 33600 Mieres</t>
  </si>
  <si>
    <t>Olla Perfect 22cm</t>
  </si>
  <si>
    <t>Histórico de Ventas</t>
  </si>
  <si>
    <t>Fecha</t>
  </si>
  <si>
    <t>PUNTO DE VENTA POS EXCEL</t>
  </si>
  <si>
    <t>Olla Perfect 18cm</t>
  </si>
  <si>
    <t>Gomas Olla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</si>
</sst>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&quot;$&quot;#,##0.00_);\(&quot;$&quot;#,##0.00\)"/>
    <numFmt numFmtId="166" formatCode="_(&quot;$&quot;* #,##0.00_);_(&quot;$&quot;* \(#,##0.00\);_(&quot;$&quot;* &quot;-&quot;??_);_(@_)"/>
    <numFmt numFmtId="168" formatCode="#,##0.00\ &quot;€&quot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8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75">
    <xf numFmtId="0" fontId="0" fillId="0" borderId="0" xfId="0"/>
    <xf numFmtId="0" fontId="0" fillId="4" borderId="1" xfId="0" applyFill="1" applyBorder="1" applyAlignment="1">
      <alignment horizontal="center"/>
    </xf>
    <xf numFmtId="22" fontId="0" fillId="0" borderId="0" xfId="0" applyNumberFormat="1"/>
    <xf numFmtId="164" fontId="0" fillId="0" borderId="0" xfId="3" applyFont="1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3" fillId="3" borderId="1" xfId="0" applyFont="1" applyFill="1" applyBorder="1" applyAlignment="1">
      <alignment horizontal="center"/>
    </xf>
    <xf numFmtId="0" fontId="8" fillId="0" borderId="0" xfId="0" applyFont="1"/>
    <xf numFmtId="49" fontId="3" fillId="3" borderId="1" xfId="0" applyNumberFormat="1" applyFont="1" applyFill="1" applyBorder="1" applyAlignment="1">
      <alignment horizontal="center"/>
    </xf>
    <xf numFmtId="49" fontId="0" fillId="0" borderId="0" xfId="0" applyNumberFormat="1"/>
    <xf numFmtId="0" fontId="8" fillId="0" borderId="0" xfId="0" applyNumberFormat="1" applyFont="1" applyAlignment="1">
      <alignment horizontal="center"/>
    </xf>
    <xf numFmtId="2" fontId="8" fillId="0" borderId="0" xfId="0" applyNumberFormat="1" applyFont="1"/>
    <xf numFmtId="2" fontId="0" fillId="0" borderId="0" xfId="0" applyNumberFormat="1"/>
    <xf numFmtId="0" fontId="0" fillId="5" borderId="0" xfId="0" applyFill="1" applyProtection="1"/>
    <xf numFmtId="0" fontId="0" fillId="6" borderId="0" xfId="0" applyFill="1" applyProtection="1"/>
    <xf numFmtId="0" fontId="0" fillId="3" borderId="4" xfId="0" applyFont="1" applyFill="1" applyBorder="1" applyAlignment="1" applyProtection="1">
      <alignment horizontal="left"/>
    </xf>
    <xf numFmtId="0" fontId="0" fillId="3" borderId="2" xfId="0" applyFill="1" applyBorder="1" applyAlignment="1" applyProtection="1">
      <alignment horizontal="right"/>
    </xf>
    <xf numFmtId="166" fontId="0" fillId="3" borderId="3" xfId="1" applyFont="1" applyFill="1" applyBorder="1" applyProtection="1"/>
    <xf numFmtId="165" fontId="0" fillId="2" borderId="3" xfId="1" applyNumberFormat="1" applyFont="1" applyFill="1" applyBorder="1" applyAlignment="1" applyProtection="1">
      <alignment horizontal="right"/>
    </xf>
    <xf numFmtId="0" fontId="0" fillId="3" borderId="3" xfId="0" applyFill="1" applyBorder="1" applyProtection="1"/>
    <xf numFmtId="0" fontId="0" fillId="2" borderId="3" xfId="1" applyNumberFormat="1" applyFont="1" applyFill="1" applyBorder="1" applyAlignment="1" applyProtection="1">
      <alignment horizontal="right"/>
    </xf>
    <xf numFmtId="49" fontId="0" fillId="2" borderId="3" xfId="0" applyNumberFormat="1" applyFill="1" applyBorder="1" applyAlignment="1" applyProtection="1">
      <alignment horizontal="right"/>
    </xf>
    <xf numFmtId="0" fontId="3" fillId="3" borderId="16" xfId="0" applyFont="1" applyFill="1" applyBorder="1" applyProtection="1"/>
    <xf numFmtId="0" fontId="3" fillId="3" borderId="16" xfId="0" applyFont="1" applyFill="1" applyBorder="1" applyAlignment="1" applyProtection="1">
      <alignment horizontal="right"/>
    </xf>
    <xf numFmtId="0" fontId="0" fillId="6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0" borderId="0" xfId="0" applyProtection="1">
      <protection locked="0"/>
    </xf>
    <xf numFmtId="0" fontId="3" fillId="6" borderId="0" xfId="0" applyFont="1" applyFill="1" applyProtection="1">
      <protection locked="0"/>
    </xf>
    <xf numFmtId="0" fontId="4" fillId="7" borderId="8" xfId="0" applyFont="1" applyFill="1" applyBorder="1" applyProtection="1">
      <protection locked="0"/>
    </xf>
    <xf numFmtId="0" fontId="4" fillId="7" borderId="9" xfId="0" applyFont="1" applyFill="1" applyBorder="1" applyAlignment="1" applyProtection="1">
      <alignment horizontal="right"/>
      <protection locked="0"/>
    </xf>
    <xf numFmtId="166" fontId="4" fillId="7" borderId="10" xfId="1" applyFont="1" applyFill="1" applyBorder="1" applyAlignment="1" applyProtection="1">
      <alignment horizontal="right"/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4" fillId="7" borderId="11" xfId="0" applyFont="1" applyFill="1" applyBorder="1" applyProtection="1">
      <protection locked="0"/>
    </xf>
    <xf numFmtId="0" fontId="4" fillId="7" borderId="0" xfId="0" applyFont="1" applyFill="1" applyBorder="1" applyAlignment="1" applyProtection="1">
      <alignment horizontal="right"/>
      <protection locked="0"/>
    </xf>
    <xf numFmtId="166" fontId="4" fillId="7" borderId="12" xfId="1" applyFont="1" applyFill="1" applyBorder="1" applyAlignment="1" applyProtection="1">
      <alignment horizontal="right"/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0" fontId="4" fillId="7" borderId="13" xfId="0" applyFont="1" applyFill="1" applyBorder="1" applyProtection="1">
      <protection locked="0"/>
    </xf>
    <xf numFmtId="0" fontId="4" fillId="7" borderId="14" xfId="0" applyFont="1" applyFill="1" applyBorder="1" applyAlignment="1" applyProtection="1">
      <alignment horizontal="right"/>
      <protection locked="0"/>
    </xf>
    <xf numFmtId="166" fontId="4" fillId="7" borderId="15" xfId="1" applyFont="1" applyFill="1" applyBorder="1" applyAlignment="1" applyProtection="1">
      <alignment horizontal="right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6" fillId="6" borderId="0" xfId="2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protection locked="0"/>
    </xf>
    <xf numFmtId="0" fontId="10" fillId="7" borderId="0" xfId="0" applyFont="1" applyFill="1" applyAlignment="1" applyProtection="1">
      <alignment horizontal="center"/>
      <protection locked="0"/>
    </xf>
    <xf numFmtId="0" fontId="3" fillId="3" borderId="1" xfId="0" applyFont="1" applyFill="1" applyBorder="1" applyAlignment="1">
      <alignment horizontal="center"/>
    </xf>
    <xf numFmtId="0" fontId="0" fillId="2" borderId="0" xfId="0" applyFill="1" applyAlignment="1" applyProtection="1">
      <alignment horizontal="left"/>
      <protection locked="0"/>
    </xf>
    <xf numFmtId="0" fontId="5" fillId="7" borderId="0" xfId="0" applyFont="1" applyFill="1" applyAlignment="1" applyProtection="1">
      <alignment horizontal="center"/>
    </xf>
    <xf numFmtId="0" fontId="0" fillId="3" borderId="5" xfId="0" applyFont="1" applyFill="1" applyBorder="1" applyAlignment="1" applyProtection="1">
      <alignment horizontal="left"/>
    </xf>
    <xf numFmtId="0" fontId="0" fillId="3" borderId="6" xfId="0" applyFont="1" applyFill="1" applyBorder="1" applyAlignment="1" applyProtection="1">
      <alignment horizontal="left"/>
    </xf>
    <xf numFmtId="0" fontId="0" fillId="3" borderId="4" xfId="0" applyFill="1" applyBorder="1" applyAlignment="1" applyProtection="1">
      <alignment horizontal="left"/>
    </xf>
    <xf numFmtId="0" fontId="0" fillId="3" borderId="5" xfId="0" applyFill="1" applyBorder="1" applyAlignment="1" applyProtection="1">
      <alignment horizontal="left"/>
    </xf>
    <xf numFmtId="0" fontId="0" fillId="3" borderId="6" xfId="0" applyFill="1" applyBorder="1" applyAlignment="1" applyProtection="1">
      <alignment horizontal="left"/>
    </xf>
    <xf numFmtId="0" fontId="7" fillId="2" borderId="16" xfId="0" applyNumberFormat="1" applyFont="1" applyFill="1" applyBorder="1" applyAlignment="1" applyProtection="1">
      <alignment horizontal="left"/>
    </xf>
    <xf numFmtId="0" fontId="7" fillId="2" borderId="16" xfId="0" applyFont="1" applyFill="1" applyBorder="1" applyAlignment="1" applyProtection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22" fontId="0" fillId="2" borderId="0" xfId="0" applyNumberFormat="1" applyFill="1" applyAlignment="1" applyProtection="1">
      <alignment horizontal="left"/>
      <protection locked="0"/>
    </xf>
    <xf numFmtId="0" fontId="3" fillId="3" borderId="1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8" fontId="0" fillId="2" borderId="0" xfId="1" applyNumberFormat="1" applyFont="1" applyFill="1" applyAlignment="1" applyProtection="1">
      <alignment horizontal="right"/>
      <protection locked="0"/>
    </xf>
    <xf numFmtId="168" fontId="0" fillId="2" borderId="0" xfId="1" applyNumberFormat="1" applyFont="1" applyFill="1" applyProtection="1">
      <protection locked="0"/>
    </xf>
    <xf numFmtId="168" fontId="0" fillId="2" borderId="0" xfId="0" applyNumberFormat="1" applyFill="1" applyAlignment="1" applyProtection="1">
      <alignment horizontal="right"/>
      <protection locked="0"/>
    </xf>
    <xf numFmtId="168" fontId="0" fillId="0" borderId="0" xfId="1" applyNumberFormat="1" applyFont="1" applyAlignment="1" applyProtection="1">
      <alignment horizontal="right"/>
      <protection locked="0"/>
    </xf>
    <xf numFmtId="168" fontId="0" fillId="0" borderId="0" xfId="1" applyNumberFormat="1" applyFont="1" applyProtection="1">
      <protection locked="0"/>
    </xf>
    <xf numFmtId="168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0" fontId="0" fillId="2" borderId="0" xfId="0" applyFill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3" fillId="2" borderId="0" xfId="0" applyFont="1" applyFill="1" applyAlignment="1" applyProtection="1">
      <alignment horizontal="center"/>
    </xf>
    <xf numFmtId="168" fontId="0" fillId="0" borderId="0" xfId="0" applyNumberFormat="1"/>
  </cellXfs>
  <cellStyles count="4">
    <cellStyle name="Hipervínculo" xfId="2" builtinId="8"/>
    <cellStyle name="Millares" xfId="3" builtinId="3"/>
    <cellStyle name="Moneda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17</xdr:row>
      <xdr:rowOff>0</xdr:rowOff>
    </xdr:from>
    <xdr:to>
      <xdr:col>13</xdr:col>
      <xdr:colOff>471487</xdr:colOff>
      <xdr:row>21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676400" y="3800475"/>
          <a:ext cx="2424112" cy="800100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Gracias</a:t>
            </a:r>
            <a:r>
              <a:rPr lang="en-US" sz="1100" b="1" baseline="0"/>
              <a:t> por su compra!!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1041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200025</xdr:rowOff>
    </xdr:from>
    <xdr:to>
      <xdr:col>1</xdr:col>
      <xdr:colOff>590549</xdr:colOff>
      <xdr:row>7</xdr:row>
      <xdr:rowOff>152401</xdr:rowOff>
    </xdr:to>
    <xdr:sp macro="[0]!Rectánguloesquinasredondeadas36_Haga_clic_en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4AEA04C7-3530-408C-A306-6E7788915C2E}"/>
            </a:ext>
          </a:extLst>
        </xdr:cNvPr>
        <xdr:cNvSpPr/>
      </xdr:nvSpPr>
      <xdr:spPr>
        <a:xfrm>
          <a:off x="0" y="933450"/>
          <a:ext cx="1704974" cy="109537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aseline="0"/>
        </a:p>
        <a:p>
          <a:pPr algn="ctr"/>
          <a:r>
            <a:rPr lang="es-PE" sz="1800" b="1" baseline="0">
              <a:latin typeface="Aharoni" panose="02010803020104030203" pitchFamily="2" charset="-79"/>
              <a:cs typeface="Aharoni" panose="02010803020104030203" pitchFamily="2" charset="-79"/>
            </a:rPr>
            <a:t>INICIAR POS EXCEL </a:t>
          </a:r>
          <a:endParaRPr lang="es-PE" sz="18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7C045D-39B1-46A1-AB33-C9F225584CDD}" name="Tabla1" displayName="Tabla1" ref="A1:F2" totalsRowShown="0">
  <autoFilter ref="A1:F2" xr:uid="{C89E7EAC-5864-44FC-9273-71E16598DEB2}"/>
  <tableColumns count="6">
    <tableColumn id="1" xr3:uid="{E739B602-8CB3-48D8-B098-0755CE97B403}" name="Nombre"/>
    <tableColumn id="2" xr3:uid="{4189E2F9-CBDE-49DE-B630-7F6819ACA643}" name="Dirección"/>
    <tableColumn id="3" xr3:uid="{27441A5E-0887-4D1F-8B6E-CB68229BC000}" name="Teléfono"/>
    <tableColumn id="4" xr3:uid="{B6B75A41-C679-4957-85A9-8EC42D58C294}" name="Cajero"/>
    <tableColumn id="5" xr3:uid="{AA39CA6E-FC26-4CC5-AF2C-BDDB219182A7}" name="IVA"/>
    <tableColumn id="6" xr3:uid="{73C0E246-6DE8-418F-A7ED-EBB7388F955E}" name="Ticket N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  <pageSetUpPr autoPageBreaks="0"/>
  </sheetPr>
  <dimension ref="A1:S62"/>
  <sheetViews>
    <sheetView showGridLines="0" tabSelected="1" zoomScaleNormal="100" workbookViewId="0">
      <selection activeCell="O5" sqref="O5"/>
    </sheetView>
  </sheetViews>
  <sheetFormatPr baseColWidth="10" defaultColWidth="9.140625" defaultRowHeight="15" x14ac:dyDescent="0.25"/>
  <cols>
    <col min="1" max="1" width="16.7109375" style="27" customWidth="1"/>
    <col min="2" max="2" width="8.42578125" style="27" customWidth="1"/>
    <col min="3" max="3" width="1.28515625" style="27" hidden="1" customWidth="1"/>
    <col min="4" max="4" width="32.7109375" style="27" hidden="1" customWidth="1"/>
    <col min="5" max="5" width="32.85546875" style="27" hidden="1" customWidth="1"/>
    <col min="6" max="6" width="30.85546875" style="27" hidden="1" customWidth="1"/>
    <col min="7" max="7" width="32.7109375" style="27" hidden="1" customWidth="1"/>
    <col min="8" max="8" width="10.140625" style="27" hidden="1" customWidth="1"/>
    <col min="9" max="9" width="41.7109375" style="27" hidden="1" customWidth="1"/>
    <col min="10" max="10" width="44.42578125" style="27" hidden="1" customWidth="1"/>
    <col min="11" max="11" width="11" style="27" customWidth="1"/>
    <col min="12" max="14" width="9.140625" style="27"/>
    <col min="15" max="15" width="82.7109375" style="27" customWidth="1"/>
    <col min="16" max="16" width="7.140625" style="27" customWidth="1"/>
    <col min="17" max="19" width="9.140625" style="27" hidden="1" customWidth="1"/>
    <col min="20" max="16384" width="9.140625" style="27"/>
  </cols>
  <sheetData>
    <row r="1" spans="1:19" ht="42" x14ac:dyDescent="0.65">
      <c r="A1" s="25"/>
      <c r="B1" s="25"/>
      <c r="C1" s="51" t="s">
        <v>26</v>
      </c>
      <c r="D1" s="51"/>
      <c r="E1" s="51"/>
      <c r="F1" s="51"/>
      <c r="G1" s="51"/>
      <c r="H1" s="51"/>
      <c r="I1" s="51"/>
      <c r="J1" s="51"/>
      <c r="K1" s="59" t="s">
        <v>7</v>
      </c>
      <c r="L1" s="59"/>
      <c r="M1" s="59"/>
      <c r="N1" s="59"/>
      <c r="O1" s="48" t="s">
        <v>44</v>
      </c>
    </row>
    <row r="2" spans="1:19" ht="15.75" thickBot="1" x14ac:dyDescent="0.3">
      <c r="A2" s="25"/>
      <c r="B2" s="25"/>
      <c r="C2" s="14"/>
      <c r="D2" s="14"/>
      <c r="E2" s="14"/>
      <c r="F2" s="14"/>
      <c r="G2" s="14"/>
      <c r="H2" s="14"/>
      <c r="I2" s="14"/>
      <c r="J2" s="14"/>
      <c r="K2" s="73" t="str">
        <f>Empresa!A2</f>
        <v>Recambios Laguna</v>
      </c>
      <c r="L2" s="73"/>
      <c r="M2" s="73"/>
      <c r="N2" s="73"/>
      <c r="O2" s="26"/>
    </row>
    <row r="3" spans="1:19" ht="29.25" customHeight="1" x14ac:dyDescent="0.25">
      <c r="A3" s="28" t="s">
        <v>35</v>
      </c>
      <c r="B3" s="25"/>
      <c r="C3" s="15"/>
      <c r="D3" s="16" t="s">
        <v>8</v>
      </c>
      <c r="E3" s="52"/>
      <c r="F3" s="53"/>
      <c r="G3" s="15"/>
      <c r="H3" s="17" t="s">
        <v>1</v>
      </c>
      <c r="I3" s="18">
        <f>SUMIF(K10:K999,"&lt;&gt;",N10:N999)</f>
        <v>0</v>
      </c>
      <c r="J3" s="15"/>
      <c r="K3" s="71" t="str">
        <f>Empresa!B2</f>
        <v>C/ Ramón y Cajal, 21 33600 Mieres</v>
      </c>
      <c r="L3" s="71"/>
      <c r="M3" s="71"/>
      <c r="N3" s="71"/>
      <c r="O3" s="25"/>
      <c r="Q3" s="29"/>
      <c r="R3" s="30" t="s">
        <v>1</v>
      </c>
      <c r="S3" s="31">
        <f>I3</f>
        <v>0</v>
      </c>
    </row>
    <row r="4" spans="1:19" x14ac:dyDescent="0.25">
      <c r="A4" s="32" t="s">
        <v>24</v>
      </c>
      <c r="B4" s="33" t="b">
        <v>0</v>
      </c>
      <c r="C4" s="15"/>
      <c r="D4" s="54" t="str">
        <f ca="1">IFERROR(INDEX(Item_Desc,MATCH(E3,Item_Name,0),1),"")</f>
        <v/>
      </c>
      <c r="E4" s="55"/>
      <c r="F4" s="56"/>
      <c r="G4" s="15"/>
      <c r="H4" s="17" t="s">
        <v>19</v>
      </c>
      <c r="I4" s="18">
        <f>I3*0</f>
        <v>0</v>
      </c>
      <c r="J4" s="15"/>
      <c r="K4" s="72">
        <f>Empresa!C2</f>
        <v>985452429</v>
      </c>
      <c r="L4" s="72"/>
      <c r="M4" s="72"/>
      <c r="N4" s="72"/>
      <c r="O4" s="25"/>
      <c r="Q4" s="34"/>
      <c r="R4" s="35" t="s">
        <v>17</v>
      </c>
      <c r="S4" s="36">
        <f>I4</f>
        <v>0</v>
      </c>
    </row>
    <row r="5" spans="1:19" x14ac:dyDescent="0.25">
      <c r="A5" s="32" t="s">
        <v>23</v>
      </c>
      <c r="B5" s="33" t="str">
        <f ca="1">IFERROR(MATCH(E10,Item_ID,0)+2,"")</f>
        <v/>
      </c>
      <c r="C5" s="15"/>
      <c r="D5" s="15"/>
      <c r="E5" s="15"/>
      <c r="F5" s="15"/>
      <c r="G5" s="15"/>
      <c r="H5" s="17" t="s">
        <v>3</v>
      </c>
      <c r="I5" s="18">
        <f>SUM(I3:I4)</f>
        <v>0</v>
      </c>
      <c r="J5" s="15"/>
      <c r="K5" s="37"/>
      <c r="L5" s="38" t="s">
        <v>11</v>
      </c>
      <c r="M5" s="50">
        <v>1041</v>
      </c>
      <c r="N5" s="50"/>
      <c r="O5" s="25"/>
      <c r="Q5" s="34"/>
      <c r="R5" s="35" t="s">
        <v>3</v>
      </c>
      <c r="S5" s="36">
        <f>I5</f>
        <v>0</v>
      </c>
    </row>
    <row r="6" spans="1:19" x14ac:dyDescent="0.25">
      <c r="A6" s="32" t="s">
        <v>25</v>
      </c>
      <c r="B6" s="33"/>
      <c r="C6" s="15"/>
      <c r="D6" s="15"/>
      <c r="E6" s="17" t="s">
        <v>29</v>
      </c>
      <c r="F6" s="19"/>
      <c r="G6" s="15"/>
      <c r="H6" s="17" t="s">
        <v>30</v>
      </c>
      <c r="I6" s="20" t="s">
        <v>32</v>
      </c>
      <c r="J6" s="15"/>
      <c r="K6" s="37"/>
      <c r="L6" s="38" t="s">
        <v>12</v>
      </c>
      <c r="M6" s="60">
        <f ca="1">NOW()</f>
        <v>44997.486940046299</v>
      </c>
      <c r="N6" s="50"/>
      <c r="O6" s="25"/>
      <c r="Q6" s="34"/>
      <c r="R6" s="35" t="s">
        <v>20</v>
      </c>
      <c r="S6" s="36">
        <v>35</v>
      </c>
    </row>
    <row r="7" spans="1:19" ht="15.75" thickBot="1" x14ac:dyDescent="0.3">
      <c r="A7" s="32" t="s">
        <v>22</v>
      </c>
      <c r="B7" s="33">
        <f ca="1">IFERROR(MAX(RecNumb)+1,1000)</f>
        <v>1041</v>
      </c>
      <c r="C7" s="15"/>
      <c r="D7" s="15"/>
      <c r="E7" s="15"/>
      <c r="F7" s="15"/>
      <c r="G7" s="15"/>
      <c r="H7" s="17" t="s">
        <v>31</v>
      </c>
      <c r="I7" s="21"/>
      <c r="J7" s="15"/>
      <c r="K7" s="37"/>
      <c r="L7" s="38"/>
      <c r="M7" s="50"/>
      <c r="N7" s="50"/>
      <c r="O7" s="25"/>
      <c r="Q7" s="39"/>
      <c r="R7" s="40" t="s">
        <v>21</v>
      </c>
      <c r="S7" s="41">
        <f>I8</f>
        <v>0</v>
      </c>
    </row>
    <row r="8" spans="1:19" x14ac:dyDescent="0.25">
      <c r="A8" s="25"/>
      <c r="B8" s="25"/>
      <c r="C8" s="15"/>
      <c r="D8" s="15"/>
      <c r="E8" s="17" t="s">
        <v>28</v>
      </c>
      <c r="F8" s="22"/>
      <c r="G8" s="15"/>
      <c r="H8" s="17" t="s">
        <v>21</v>
      </c>
      <c r="I8" s="18">
        <f>I7-I5</f>
        <v>0</v>
      </c>
      <c r="J8" s="15"/>
      <c r="K8" s="37"/>
      <c r="L8" s="37"/>
      <c r="M8" s="37"/>
      <c r="N8" s="37"/>
      <c r="O8" s="25"/>
    </row>
    <row r="9" spans="1:19" ht="15.75" thickBot="1" x14ac:dyDescent="0.3">
      <c r="A9" s="25"/>
      <c r="B9" s="25"/>
      <c r="C9" s="15"/>
      <c r="D9" s="15"/>
      <c r="E9" s="15"/>
      <c r="F9" s="15"/>
      <c r="G9" s="15"/>
      <c r="H9" s="15"/>
      <c r="I9" s="15"/>
      <c r="J9" s="15"/>
      <c r="K9" s="42" t="s">
        <v>14</v>
      </c>
      <c r="L9" s="42" t="s">
        <v>15</v>
      </c>
      <c r="M9" s="42" t="s">
        <v>16</v>
      </c>
      <c r="N9" s="42" t="s">
        <v>2</v>
      </c>
      <c r="O9" s="25"/>
      <c r="R9" s="43"/>
    </row>
    <row r="10" spans="1:19" ht="15.75" thickBot="1" x14ac:dyDescent="0.3">
      <c r="A10" s="25"/>
      <c r="B10" s="25"/>
      <c r="C10" s="23"/>
      <c r="D10" s="24" t="s">
        <v>18</v>
      </c>
      <c r="E10" s="57"/>
      <c r="F10" s="58"/>
      <c r="G10" s="15"/>
      <c r="H10" s="15"/>
      <c r="I10" s="15"/>
      <c r="J10" s="15"/>
      <c r="K10" s="37"/>
      <c r="L10" s="44"/>
      <c r="M10" s="64"/>
      <c r="N10" s="65"/>
      <c r="O10" s="25"/>
      <c r="R10" s="43"/>
    </row>
    <row r="11" spans="1:19" x14ac:dyDescent="0.25">
      <c r="A11" s="25"/>
      <c r="B11" s="25"/>
      <c r="C11" s="15"/>
      <c r="D11" s="15"/>
      <c r="E11" s="15"/>
      <c r="F11" s="15"/>
      <c r="G11" s="15"/>
      <c r="H11" s="15"/>
      <c r="I11" s="15"/>
      <c r="J11" s="15"/>
      <c r="K11" s="37"/>
      <c r="L11" s="44"/>
      <c r="M11" s="64"/>
      <c r="N11" s="65"/>
      <c r="O11" s="25"/>
      <c r="R11" s="43"/>
    </row>
    <row r="12" spans="1:19" x14ac:dyDescent="0.25">
      <c r="A12" s="25"/>
      <c r="B12" s="25"/>
      <c r="C12" s="15"/>
      <c r="D12" s="15"/>
      <c r="E12" s="15"/>
      <c r="F12" s="15"/>
      <c r="G12" s="15"/>
      <c r="H12" s="15"/>
      <c r="I12" s="15"/>
      <c r="J12" s="15"/>
      <c r="K12" s="37"/>
      <c r="L12" s="44"/>
      <c r="M12" s="64"/>
      <c r="N12" s="65"/>
      <c r="O12" s="25"/>
      <c r="R12" s="43"/>
    </row>
    <row r="13" spans="1:19" x14ac:dyDescent="0.25">
      <c r="A13" s="25"/>
      <c r="B13" s="25"/>
      <c r="C13" s="15"/>
      <c r="D13" s="15"/>
      <c r="E13" s="15"/>
      <c r="F13" s="15"/>
      <c r="G13" s="15"/>
      <c r="H13" s="15"/>
      <c r="I13" s="15"/>
      <c r="J13" s="15"/>
      <c r="K13" s="37"/>
      <c r="L13" s="44"/>
      <c r="M13" s="64"/>
      <c r="N13" s="65"/>
      <c r="O13" s="25"/>
      <c r="R13" s="43"/>
    </row>
    <row r="14" spans="1:19" x14ac:dyDescent="0.25">
      <c r="A14" s="25"/>
      <c r="B14" s="25"/>
      <c r="C14" s="15"/>
      <c r="D14" s="15"/>
      <c r="E14" s="15"/>
      <c r="F14" s="15"/>
      <c r="G14" s="15"/>
      <c r="H14" s="15"/>
      <c r="I14" s="15"/>
      <c r="J14" s="15"/>
      <c r="K14" s="37"/>
      <c r="L14" s="44"/>
      <c r="M14" s="64"/>
      <c r="N14" s="65"/>
      <c r="O14" s="25"/>
    </row>
    <row r="15" spans="1:19" x14ac:dyDescent="0.25">
      <c r="A15" s="25"/>
      <c r="B15" s="25"/>
      <c r="C15" s="15"/>
      <c r="D15" s="15"/>
      <c r="E15" s="15"/>
      <c r="F15" s="15"/>
      <c r="G15" s="15"/>
      <c r="H15" s="15"/>
      <c r="I15" s="15"/>
      <c r="J15" s="15"/>
      <c r="K15" s="37"/>
      <c r="L15" s="44"/>
      <c r="M15" s="64"/>
      <c r="N15" s="65"/>
      <c r="O15" s="25"/>
    </row>
    <row r="16" spans="1:19" x14ac:dyDescent="0.25">
      <c r="A16" s="25"/>
      <c r="B16" s="25"/>
      <c r="C16" s="15"/>
      <c r="D16" s="15"/>
      <c r="E16" s="15"/>
      <c r="F16" s="15"/>
      <c r="G16" s="15"/>
      <c r="H16" s="15"/>
      <c r="I16" s="15"/>
      <c r="J16" s="15"/>
      <c r="K16" s="37"/>
      <c r="L16" s="44"/>
      <c r="M16" s="64"/>
      <c r="N16" s="65"/>
      <c r="O16" s="25"/>
    </row>
    <row r="17" spans="1:15" x14ac:dyDescent="0.25">
      <c r="A17" s="25"/>
      <c r="B17" s="25"/>
      <c r="C17" s="15"/>
      <c r="D17" s="15"/>
      <c r="E17" s="15"/>
      <c r="F17" s="15"/>
      <c r="G17" s="15"/>
      <c r="H17" s="15"/>
      <c r="I17" s="15"/>
      <c r="J17" s="15"/>
      <c r="K17" s="37"/>
      <c r="L17" s="44"/>
      <c r="M17" s="64"/>
      <c r="N17" s="65"/>
      <c r="O17" s="25"/>
    </row>
    <row r="18" spans="1:15" x14ac:dyDescent="0.25">
      <c r="A18" s="25"/>
      <c r="B18" s="25"/>
      <c r="C18" s="15"/>
      <c r="D18" s="15"/>
      <c r="E18" s="15"/>
      <c r="F18" s="15"/>
      <c r="G18" s="15"/>
      <c r="H18" s="15"/>
      <c r="I18" s="15"/>
      <c r="J18" s="15"/>
      <c r="K18" s="37"/>
      <c r="L18" s="44"/>
      <c r="M18" s="64"/>
      <c r="N18" s="65"/>
      <c r="O18" s="25"/>
    </row>
    <row r="19" spans="1:15" x14ac:dyDescent="0.25">
      <c r="A19" s="25"/>
      <c r="B19" s="25"/>
      <c r="C19" s="15"/>
      <c r="D19" s="15"/>
      <c r="E19" s="15"/>
      <c r="F19" s="15"/>
      <c r="G19" s="15"/>
      <c r="H19" s="15"/>
      <c r="I19" s="15"/>
      <c r="J19" s="15"/>
      <c r="K19" s="37"/>
      <c r="L19" s="44"/>
      <c r="M19" s="64"/>
      <c r="N19" s="65"/>
      <c r="O19" s="25"/>
    </row>
    <row r="20" spans="1:15" x14ac:dyDescent="0.25">
      <c r="A20" s="25"/>
      <c r="B20" s="25"/>
      <c r="C20" s="15"/>
      <c r="D20" s="15"/>
      <c r="E20" s="15"/>
      <c r="F20" s="15"/>
      <c r="G20" s="15"/>
      <c r="H20" s="15"/>
      <c r="I20" s="15"/>
      <c r="J20" s="15"/>
      <c r="K20" s="37"/>
      <c r="L20" s="44"/>
      <c r="M20" s="64"/>
      <c r="N20" s="65"/>
      <c r="O20" s="25"/>
    </row>
    <row r="21" spans="1:15" x14ac:dyDescent="0.25">
      <c r="A21" s="25"/>
      <c r="B21" s="25"/>
      <c r="C21" s="15"/>
      <c r="D21" s="15"/>
      <c r="E21" s="15"/>
      <c r="F21" s="15"/>
      <c r="G21" s="15"/>
      <c r="H21" s="15"/>
      <c r="I21" s="15"/>
      <c r="J21" s="15"/>
      <c r="K21" s="37"/>
      <c r="L21" s="44"/>
      <c r="M21" s="64"/>
      <c r="N21" s="65"/>
      <c r="O21" s="25"/>
    </row>
    <row r="22" spans="1:15" x14ac:dyDescent="0.25">
      <c r="A22" s="25"/>
      <c r="B22" s="25"/>
      <c r="C22" s="15"/>
      <c r="D22" s="15"/>
      <c r="E22" s="15"/>
      <c r="F22" s="15"/>
      <c r="G22" s="15"/>
      <c r="H22" s="15"/>
      <c r="I22" s="15"/>
      <c r="J22" s="15"/>
      <c r="K22" s="37"/>
      <c r="L22" s="44"/>
      <c r="M22" s="64"/>
      <c r="N22" s="65"/>
      <c r="O22" s="25"/>
    </row>
    <row r="23" spans="1:15" x14ac:dyDescent="0.25">
      <c r="A23" s="25"/>
      <c r="B23" s="25"/>
      <c r="C23" s="15"/>
      <c r="D23" s="15"/>
      <c r="E23" s="15"/>
      <c r="F23" s="15"/>
      <c r="G23" s="15"/>
      <c r="H23" s="15"/>
      <c r="I23" s="15"/>
      <c r="J23" s="15"/>
      <c r="K23" s="37"/>
      <c r="L23" s="44"/>
      <c r="M23" s="64"/>
      <c r="N23" s="65"/>
      <c r="O23" s="25"/>
    </row>
    <row r="24" spans="1:15" x14ac:dyDescent="0.25">
      <c r="A24" s="25"/>
      <c r="B24" s="25"/>
      <c r="C24" s="15"/>
      <c r="D24" s="15"/>
      <c r="E24" s="15"/>
      <c r="F24" s="15"/>
      <c r="G24" s="15"/>
      <c r="H24" s="15"/>
      <c r="I24" s="15"/>
      <c r="J24" s="15"/>
      <c r="K24" s="37"/>
      <c r="L24" s="44"/>
      <c r="M24" s="64"/>
      <c r="N24" s="65"/>
      <c r="O24" s="45"/>
    </row>
    <row r="25" spans="1:15" x14ac:dyDescent="0.25">
      <c r="A25" s="25"/>
      <c r="B25" s="25"/>
      <c r="C25" s="15"/>
      <c r="D25" s="15"/>
      <c r="E25" s="15"/>
      <c r="F25" s="15"/>
      <c r="G25" s="15"/>
      <c r="H25" s="15"/>
      <c r="I25" s="15"/>
      <c r="J25" s="15"/>
      <c r="K25" s="37"/>
      <c r="L25" s="44"/>
      <c r="M25" s="64"/>
      <c r="N25" s="65"/>
      <c r="O25" s="25"/>
    </row>
    <row r="26" spans="1:15" x14ac:dyDescent="0.25">
      <c r="A26" s="25"/>
      <c r="B26" s="25"/>
      <c r="C26" s="15"/>
      <c r="D26" s="15"/>
      <c r="E26" s="15"/>
      <c r="F26" s="15"/>
      <c r="G26" s="15"/>
      <c r="H26" s="15"/>
      <c r="I26" s="15"/>
      <c r="J26" s="15"/>
      <c r="K26" s="37"/>
      <c r="L26" s="37"/>
      <c r="M26" s="66"/>
      <c r="N26" s="65"/>
      <c r="O26" s="25"/>
    </row>
    <row r="27" spans="1:15" x14ac:dyDescent="0.25">
      <c r="A27" s="25"/>
      <c r="B27" s="25"/>
      <c r="C27" s="15"/>
      <c r="D27" s="15"/>
      <c r="E27" s="15"/>
      <c r="F27" s="15"/>
      <c r="G27" s="15"/>
      <c r="H27" s="15"/>
      <c r="I27" s="15"/>
      <c r="J27" s="15"/>
      <c r="K27" s="37"/>
      <c r="L27" s="37"/>
      <c r="M27" s="66"/>
      <c r="N27" s="65"/>
      <c r="O27" s="25"/>
    </row>
    <row r="28" spans="1:15" x14ac:dyDescent="0.25">
      <c r="A28" s="25"/>
      <c r="B28" s="25"/>
      <c r="C28" s="15"/>
      <c r="D28" s="15"/>
      <c r="E28" s="15"/>
      <c r="F28" s="15"/>
      <c r="G28" s="15"/>
      <c r="H28" s="15"/>
      <c r="I28" s="15"/>
      <c r="J28" s="15"/>
      <c r="K28" s="37"/>
      <c r="L28" s="37"/>
      <c r="M28" s="66"/>
      <c r="N28" s="65"/>
      <c r="O28" s="25"/>
    </row>
    <row r="29" spans="1:15" x14ac:dyDescent="0.25">
      <c r="A29" s="25"/>
      <c r="B29" s="25"/>
      <c r="C29" s="15"/>
      <c r="D29" s="15"/>
      <c r="E29" s="15"/>
      <c r="F29" s="15"/>
      <c r="G29" s="15"/>
      <c r="H29" s="15"/>
      <c r="I29" s="15"/>
      <c r="J29" s="15"/>
      <c r="K29" s="37"/>
      <c r="L29" s="37"/>
      <c r="M29" s="66"/>
      <c r="N29" s="65"/>
      <c r="O29" s="25"/>
    </row>
    <row r="30" spans="1:15" x14ac:dyDescent="0.25">
      <c r="A30" s="25"/>
      <c r="B30" s="25"/>
      <c r="C30" s="15"/>
      <c r="D30" s="15"/>
      <c r="E30" s="15"/>
      <c r="F30" s="15"/>
      <c r="G30" s="15"/>
      <c r="H30" s="15"/>
      <c r="I30" s="15"/>
      <c r="J30" s="15"/>
      <c r="K30" s="37"/>
      <c r="L30" s="37"/>
      <c r="M30" s="66"/>
      <c r="N30" s="65"/>
      <c r="O30" s="25"/>
    </row>
    <row r="31" spans="1:15" x14ac:dyDescent="0.25">
      <c r="A31" s="25"/>
      <c r="B31" s="25"/>
      <c r="C31" s="15"/>
      <c r="D31" s="15"/>
      <c r="E31" s="15"/>
      <c r="F31" s="15"/>
      <c r="G31" s="15"/>
      <c r="H31" s="15"/>
      <c r="I31" s="15"/>
      <c r="J31" s="15"/>
      <c r="K31" s="37"/>
      <c r="L31" s="37"/>
      <c r="M31" s="66"/>
      <c r="N31" s="65"/>
      <c r="O31" s="45"/>
    </row>
    <row r="32" spans="1:15" x14ac:dyDescent="0.25">
      <c r="A32" s="25"/>
      <c r="B32" s="25"/>
      <c r="C32" s="15"/>
      <c r="D32" s="15"/>
      <c r="E32" s="15"/>
      <c r="F32" s="15"/>
      <c r="G32" s="15"/>
      <c r="H32" s="15"/>
      <c r="I32" s="15"/>
      <c r="J32" s="15"/>
      <c r="K32" s="37"/>
      <c r="L32" s="37"/>
      <c r="M32" s="66"/>
      <c r="N32" s="65"/>
      <c r="O32" s="25"/>
    </row>
    <row r="33" spans="1:15" x14ac:dyDescent="0.25">
      <c r="A33" s="25"/>
      <c r="B33" s="25"/>
      <c r="C33" s="15"/>
      <c r="D33" s="15"/>
      <c r="E33" s="15"/>
      <c r="F33" s="15"/>
      <c r="G33" s="15"/>
      <c r="H33" s="15"/>
      <c r="I33" s="15"/>
      <c r="J33" s="15"/>
      <c r="K33" s="37"/>
      <c r="L33" s="37"/>
      <c r="M33" s="66"/>
      <c r="N33" s="65"/>
      <c r="O33" s="25"/>
    </row>
    <row r="34" spans="1:15" x14ac:dyDescent="0.25">
      <c r="A34" s="25"/>
      <c r="B34" s="25"/>
      <c r="C34" s="15"/>
      <c r="D34" s="15"/>
      <c r="E34" s="15"/>
      <c r="F34" s="15"/>
      <c r="G34" s="15"/>
      <c r="H34" s="15"/>
      <c r="I34" s="15"/>
      <c r="J34" s="15"/>
      <c r="K34" s="37"/>
      <c r="L34" s="37"/>
      <c r="M34" s="66"/>
      <c r="N34" s="65"/>
      <c r="O34" s="25"/>
    </row>
    <row r="35" spans="1:15" x14ac:dyDescent="0.25">
      <c r="A35" s="25"/>
      <c r="B35" s="25"/>
      <c r="C35" s="15"/>
      <c r="D35" s="15"/>
      <c r="E35" s="15"/>
      <c r="F35" s="15"/>
      <c r="G35" s="15"/>
      <c r="H35" s="15"/>
      <c r="I35" s="15"/>
      <c r="J35" s="15"/>
      <c r="K35" s="37"/>
      <c r="L35" s="37"/>
      <c r="M35" s="66"/>
      <c r="N35" s="65"/>
      <c r="O35" s="25"/>
    </row>
    <row r="36" spans="1:15" x14ac:dyDescent="0.25">
      <c r="A36" s="25"/>
      <c r="B36" s="25"/>
      <c r="C36" s="15"/>
      <c r="D36" s="15"/>
      <c r="E36" s="15"/>
      <c r="F36" s="15"/>
      <c r="G36" s="15"/>
      <c r="H36" s="15"/>
      <c r="I36" s="15"/>
      <c r="J36" s="15"/>
      <c r="K36" s="37"/>
      <c r="L36" s="37"/>
      <c r="M36" s="66"/>
      <c r="N36" s="65"/>
      <c r="O36" s="25"/>
    </row>
    <row r="37" spans="1:15" x14ac:dyDescent="0.25">
      <c r="K37" s="37"/>
      <c r="L37" s="44"/>
      <c r="M37" s="64"/>
      <c r="N37" s="65"/>
    </row>
    <row r="38" spans="1:15" x14ac:dyDescent="0.25">
      <c r="L38" s="46"/>
      <c r="M38" s="67"/>
      <c r="N38" s="68"/>
    </row>
    <row r="39" spans="1:15" x14ac:dyDescent="0.25">
      <c r="L39" s="47"/>
      <c r="M39" s="67"/>
      <c r="N39" s="68"/>
    </row>
    <row r="40" spans="1:15" x14ac:dyDescent="0.25">
      <c r="L40" s="47"/>
      <c r="M40" s="67"/>
      <c r="N40" s="68"/>
    </row>
    <row r="41" spans="1:15" x14ac:dyDescent="0.25">
      <c r="L41" s="47"/>
      <c r="M41" s="67"/>
      <c r="N41" s="68"/>
    </row>
    <row r="42" spans="1:15" x14ac:dyDescent="0.25">
      <c r="M42" s="67"/>
      <c r="N42" s="68"/>
    </row>
    <row r="43" spans="1:15" x14ac:dyDescent="0.25">
      <c r="M43" s="67"/>
      <c r="N43" s="68"/>
    </row>
    <row r="44" spans="1:15" x14ac:dyDescent="0.25">
      <c r="M44" s="69"/>
      <c r="N44" s="70"/>
    </row>
    <row r="45" spans="1:15" x14ac:dyDescent="0.25">
      <c r="M45" s="69"/>
      <c r="N45" s="70"/>
    </row>
    <row r="46" spans="1:15" x14ac:dyDescent="0.25">
      <c r="M46" s="69"/>
      <c r="N46" s="70"/>
    </row>
    <row r="47" spans="1:15" x14ac:dyDescent="0.25">
      <c r="M47" s="69"/>
      <c r="N47" s="70"/>
    </row>
    <row r="48" spans="1:15" x14ac:dyDescent="0.25">
      <c r="M48" s="69"/>
      <c r="N48" s="70"/>
    </row>
    <row r="49" spans="13:14" x14ac:dyDescent="0.25">
      <c r="M49" s="69"/>
      <c r="N49" s="70"/>
    </row>
    <row r="50" spans="13:14" x14ac:dyDescent="0.25">
      <c r="M50" s="69"/>
      <c r="N50" s="70"/>
    </row>
    <row r="51" spans="13:14" x14ac:dyDescent="0.25">
      <c r="M51" s="69"/>
      <c r="N51" s="70"/>
    </row>
    <row r="52" spans="13:14" x14ac:dyDescent="0.25">
      <c r="M52" s="69"/>
      <c r="N52" s="70"/>
    </row>
    <row r="53" spans="13:14" x14ac:dyDescent="0.25">
      <c r="M53" s="69"/>
      <c r="N53" s="70"/>
    </row>
    <row r="54" spans="13:14" x14ac:dyDescent="0.25">
      <c r="M54" s="69"/>
      <c r="N54" s="70"/>
    </row>
    <row r="55" spans="13:14" x14ac:dyDescent="0.25">
      <c r="M55" s="69"/>
      <c r="N55" s="70"/>
    </row>
    <row r="56" spans="13:14" x14ac:dyDescent="0.25">
      <c r="M56" s="69"/>
      <c r="N56" s="70"/>
    </row>
    <row r="57" spans="13:14" x14ac:dyDescent="0.25">
      <c r="M57" s="43"/>
    </row>
    <row r="58" spans="13:14" x14ac:dyDescent="0.25">
      <c r="M58" s="43"/>
    </row>
    <row r="59" spans="13:14" x14ac:dyDescent="0.25">
      <c r="M59" s="43"/>
    </row>
    <row r="60" spans="13:14" x14ac:dyDescent="0.25">
      <c r="M60" s="43"/>
    </row>
    <row r="61" spans="13:14" x14ac:dyDescent="0.25">
      <c r="M61" s="43"/>
    </row>
    <row r="62" spans="13:14" x14ac:dyDescent="0.25">
      <c r="M62" s="43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1.3149999999999999" bottom="0.75" header="0.3" footer="0.3"/>
  <pageSetup paperSize="9" scale="95" orientation="portrait" horizontalDpi="200" verticalDpi="2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445231F-A1EB-410F-9536-D5FE9F475A2B}">
          <x14:formula1>
            <xm:f>#REF!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N1357"/>
  <sheetViews>
    <sheetView workbookViewId="0">
      <selection activeCell="C2" sqref="C2"/>
    </sheetView>
  </sheetViews>
  <sheetFormatPr baseColWidth="10" defaultColWidth="9.140625" defaultRowHeight="15" x14ac:dyDescent="0.25"/>
  <cols>
    <col min="1" max="1" width="10.28515625" style="10" customWidth="1"/>
    <col min="2" max="2" width="18.85546875" customWidth="1"/>
    <col min="3" max="3" width="32" bestFit="1" customWidth="1"/>
    <col min="5" max="5" width="44.5703125" bestFit="1" customWidth="1"/>
    <col min="8" max="8" width="10" bestFit="1" customWidth="1"/>
    <col min="11" max="14" width="10" bestFit="1" customWidth="1"/>
  </cols>
  <sheetData>
    <row r="1" spans="1:14" x14ac:dyDescent="0.25">
      <c r="A1" s="61" t="s">
        <v>0</v>
      </c>
      <c r="B1" s="62"/>
      <c r="C1" s="62"/>
      <c r="D1" s="62"/>
      <c r="E1" s="62"/>
      <c r="F1" s="62"/>
    </row>
    <row r="2" spans="1:14" x14ac:dyDescent="0.25">
      <c r="A2" s="9" t="s">
        <v>34</v>
      </c>
      <c r="B2" s="7" t="s">
        <v>8</v>
      </c>
      <c r="C2" s="7" t="s">
        <v>33</v>
      </c>
      <c r="D2" s="7" t="s">
        <v>16</v>
      </c>
      <c r="E2" s="7" t="s">
        <v>37</v>
      </c>
      <c r="F2" s="49" t="s">
        <v>38</v>
      </c>
      <c r="K2" s="3"/>
      <c r="L2" s="3"/>
      <c r="M2" s="4"/>
    </row>
    <row r="3" spans="1:14" ht="15.75" x14ac:dyDescent="0.25">
      <c r="A3" s="11">
        <v>1001</v>
      </c>
      <c r="B3" s="8" t="s">
        <v>41</v>
      </c>
      <c r="C3" s="8" t="s">
        <v>41</v>
      </c>
      <c r="D3" s="8">
        <v>13.5</v>
      </c>
      <c r="E3" s="8" t="s">
        <v>46</v>
      </c>
      <c r="K3" s="3"/>
      <c r="L3" s="3"/>
      <c r="N3" s="4"/>
    </row>
    <row r="4" spans="1:14" ht="15.75" x14ac:dyDescent="0.25">
      <c r="A4" s="11">
        <v>1002</v>
      </c>
      <c r="B4" s="8" t="s">
        <v>45</v>
      </c>
      <c r="C4" s="8" t="s">
        <v>45</v>
      </c>
      <c r="D4" s="8">
        <v>14.5</v>
      </c>
      <c r="E4" s="8" t="s">
        <v>46</v>
      </c>
      <c r="K4" s="3"/>
      <c r="L4" s="3"/>
    </row>
    <row r="5" spans="1:14" ht="15.75" x14ac:dyDescent="0.25">
      <c r="A5" s="11"/>
      <c r="B5" s="8"/>
      <c r="C5" s="8"/>
      <c r="D5" s="8"/>
      <c r="E5" s="8"/>
      <c r="H5" s="3"/>
    </row>
    <row r="6" spans="1:14" ht="15.75" x14ac:dyDescent="0.25">
      <c r="A6" s="11"/>
      <c r="B6" s="8"/>
      <c r="C6" s="8"/>
      <c r="D6" s="8"/>
      <c r="E6" s="8"/>
      <c r="G6" s="5"/>
    </row>
    <row r="7" spans="1:14" ht="15.75" x14ac:dyDescent="0.25">
      <c r="A7" s="11"/>
      <c r="B7" s="8"/>
      <c r="C7" s="8"/>
      <c r="D7" s="8"/>
      <c r="E7" s="8"/>
      <c r="G7" s="6"/>
    </row>
    <row r="8" spans="1:14" ht="15.75" x14ac:dyDescent="0.25">
      <c r="A8" s="11"/>
      <c r="B8" s="8"/>
      <c r="C8" s="8"/>
      <c r="D8" s="8"/>
      <c r="E8" s="8"/>
    </row>
    <row r="9" spans="1:14" ht="15.75" x14ac:dyDescent="0.25">
      <c r="A9" s="11"/>
      <c r="B9" s="8"/>
      <c r="C9" s="8"/>
      <c r="D9" s="8"/>
      <c r="E9" s="8"/>
    </row>
    <row r="10" spans="1:14" ht="15.75" x14ac:dyDescent="0.25">
      <c r="A10" s="11"/>
      <c r="B10" s="8"/>
      <c r="C10" s="8"/>
      <c r="D10" s="8"/>
      <c r="E10" s="8"/>
    </row>
    <row r="11" spans="1:14" ht="15.75" x14ac:dyDescent="0.25">
      <c r="A11" s="11"/>
      <c r="B11" s="8"/>
      <c r="C11" s="8"/>
      <c r="D11" s="8"/>
      <c r="E11" s="8"/>
    </row>
    <row r="12" spans="1:14" ht="15.75" x14ac:dyDescent="0.25">
      <c r="A12" s="11"/>
      <c r="B12" s="8"/>
      <c r="C12" s="8"/>
      <c r="D12" s="8"/>
      <c r="E12" s="8"/>
    </row>
    <row r="13" spans="1:14" ht="15.75" x14ac:dyDescent="0.25">
      <c r="A13" s="11"/>
      <c r="B13" s="8"/>
      <c r="C13" s="8"/>
      <c r="D13" s="8"/>
      <c r="E13" s="8"/>
    </row>
    <row r="14" spans="1:14" ht="15.75" x14ac:dyDescent="0.25">
      <c r="A14" s="12"/>
      <c r="B14" s="8"/>
      <c r="C14" s="8"/>
      <c r="D14" s="8"/>
      <c r="E14" s="8"/>
    </row>
    <row r="15" spans="1:14" ht="15.75" x14ac:dyDescent="0.25">
      <c r="A15" s="12"/>
      <c r="B15" s="8"/>
      <c r="C15" s="8"/>
      <c r="D15" s="8"/>
      <c r="E15" s="8"/>
    </row>
    <row r="16" spans="1:14" ht="15.75" x14ac:dyDescent="0.25">
      <c r="A16" s="12"/>
      <c r="B16" s="8"/>
      <c r="C16" s="8"/>
      <c r="D16" s="8"/>
      <c r="E16" s="8"/>
    </row>
    <row r="17" spans="1:5" ht="15.75" x14ac:dyDescent="0.25">
      <c r="A17" s="12"/>
      <c r="B17" s="8"/>
      <c r="C17" s="8"/>
      <c r="D17" s="8"/>
      <c r="E17" s="8"/>
    </row>
    <row r="18" spans="1:5" ht="15.75" x14ac:dyDescent="0.25">
      <c r="A18" s="12"/>
      <c r="B18" s="8"/>
      <c r="C18" s="8"/>
      <c r="D18" s="8"/>
      <c r="E18" s="8"/>
    </row>
    <row r="19" spans="1:5" ht="15.75" x14ac:dyDescent="0.25">
      <c r="A19" s="12"/>
      <c r="B19" s="8"/>
      <c r="C19" s="8"/>
      <c r="D19" s="8"/>
      <c r="E19" s="8"/>
    </row>
    <row r="20" spans="1:5" ht="15.75" x14ac:dyDescent="0.25">
      <c r="A20" s="12"/>
      <c r="B20" s="8"/>
      <c r="C20" s="8"/>
      <c r="D20" s="8"/>
      <c r="E20" s="8"/>
    </row>
    <row r="21" spans="1:5" ht="15.75" x14ac:dyDescent="0.25">
      <c r="A21" s="12"/>
      <c r="B21" s="8"/>
      <c r="C21" s="8"/>
      <c r="D21" s="8"/>
      <c r="E21" s="8"/>
    </row>
    <row r="22" spans="1:5" ht="15.75" x14ac:dyDescent="0.25">
      <c r="A22" s="12"/>
      <c r="B22" s="8"/>
      <c r="C22" s="8"/>
      <c r="D22" s="8"/>
      <c r="E22" s="8"/>
    </row>
    <row r="23" spans="1:5" ht="15.75" x14ac:dyDescent="0.25">
      <c r="A23" s="12"/>
      <c r="B23" s="8"/>
      <c r="C23" s="8"/>
      <c r="D23" s="8"/>
      <c r="E23" s="8"/>
    </row>
    <row r="24" spans="1:5" ht="15.75" x14ac:dyDescent="0.25">
      <c r="A24" s="12"/>
      <c r="B24" s="8"/>
      <c r="C24" s="8"/>
      <c r="D24" s="8"/>
      <c r="E24" s="8"/>
    </row>
    <row r="25" spans="1:5" ht="15.75" x14ac:dyDescent="0.25">
      <c r="A25" s="12"/>
      <c r="B25" s="8"/>
      <c r="C25" s="8"/>
      <c r="D25" s="8"/>
      <c r="E25" s="8"/>
    </row>
    <row r="26" spans="1:5" ht="15.75" x14ac:dyDescent="0.25">
      <c r="A26" s="12"/>
      <c r="B26" s="8"/>
      <c r="C26" s="8"/>
      <c r="D26" s="8"/>
      <c r="E26" s="8"/>
    </row>
    <row r="27" spans="1:5" ht="15.75" x14ac:dyDescent="0.25">
      <c r="A27" s="12"/>
      <c r="B27" s="8"/>
      <c r="C27" s="8"/>
      <c r="D27" s="8"/>
      <c r="E27" s="8"/>
    </row>
    <row r="28" spans="1:5" ht="15.75" x14ac:dyDescent="0.25">
      <c r="A28" s="12"/>
      <c r="B28" s="8"/>
      <c r="C28" s="8"/>
      <c r="D28" s="8"/>
      <c r="E28" s="8"/>
    </row>
    <row r="29" spans="1:5" ht="15.75" x14ac:dyDescent="0.25">
      <c r="A29" s="12"/>
      <c r="B29" s="8"/>
      <c r="C29" s="8"/>
      <c r="D29" s="8"/>
      <c r="E29" s="8"/>
    </row>
    <row r="30" spans="1:5" ht="15.75" x14ac:dyDescent="0.25">
      <c r="A30" s="12"/>
      <c r="B30" s="8"/>
      <c r="C30" s="8"/>
      <c r="D30" s="8"/>
      <c r="E30" s="8"/>
    </row>
    <row r="31" spans="1:5" ht="15.75" x14ac:dyDescent="0.25">
      <c r="A31" s="12"/>
      <c r="B31" s="8"/>
      <c r="C31" s="8"/>
      <c r="D31" s="8"/>
      <c r="E31" s="8"/>
    </row>
    <row r="32" spans="1:5" ht="15.75" x14ac:dyDescent="0.25">
      <c r="A32" s="12"/>
      <c r="B32" s="8"/>
      <c r="C32" s="8"/>
      <c r="D32" s="8"/>
      <c r="E32" s="8"/>
    </row>
    <row r="33" spans="1:5" ht="15.75" x14ac:dyDescent="0.25">
      <c r="A33" s="12"/>
      <c r="B33" s="8"/>
      <c r="C33" s="8"/>
      <c r="D33" s="8"/>
      <c r="E33" s="8"/>
    </row>
    <row r="34" spans="1:5" ht="15.75" x14ac:dyDescent="0.25">
      <c r="A34" s="12"/>
      <c r="B34" s="8"/>
      <c r="C34" s="8"/>
      <c r="D34" s="8"/>
      <c r="E34" s="8"/>
    </row>
    <row r="35" spans="1:5" ht="15.75" x14ac:dyDescent="0.25">
      <c r="A35" s="12"/>
      <c r="B35" s="8"/>
      <c r="C35" s="8"/>
      <c r="D35" s="8"/>
      <c r="E35" s="8"/>
    </row>
    <row r="36" spans="1:5" ht="15.75" x14ac:dyDescent="0.25">
      <c r="A36" s="12"/>
      <c r="B36" s="8"/>
      <c r="C36" s="8"/>
      <c r="D36" s="8"/>
      <c r="E36" s="8"/>
    </row>
    <row r="37" spans="1:5" ht="15.75" x14ac:dyDescent="0.25">
      <c r="A37" s="12"/>
      <c r="B37" s="8"/>
      <c r="C37" s="8"/>
      <c r="D37" s="8"/>
      <c r="E37" s="8"/>
    </row>
    <row r="38" spans="1:5" ht="15.75" x14ac:dyDescent="0.25">
      <c r="A38" s="12"/>
      <c r="B38" s="8"/>
      <c r="C38" s="8"/>
      <c r="D38" s="8"/>
      <c r="E38" s="8"/>
    </row>
    <row r="39" spans="1:5" ht="15.75" x14ac:dyDescent="0.25">
      <c r="A39" s="12"/>
      <c r="B39" s="8"/>
      <c r="C39" s="8"/>
      <c r="D39" s="8"/>
      <c r="E39" s="8"/>
    </row>
    <row r="40" spans="1:5" ht="15.75" x14ac:dyDescent="0.25">
      <c r="A40" s="12"/>
      <c r="B40" s="8"/>
      <c r="C40" s="8"/>
      <c r="D40" s="8"/>
      <c r="E40" s="8"/>
    </row>
    <row r="41" spans="1:5" ht="15.75" x14ac:dyDescent="0.25">
      <c r="A41" s="12"/>
      <c r="B41" s="8"/>
      <c r="C41" s="8"/>
      <c r="D41" s="8"/>
      <c r="E41" s="8"/>
    </row>
    <row r="42" spans="1:5" ht="15.75" x14ac:dyDescent="0.25">
      <c r="A42" s="12"/>
      <c r="B42" s="8"/>
      <c r="C42" s="8"/>
      <c r="D42" s="8"/>
      <c r="E42" s="8"/>
    </row>
    <row r="43" spans="1:5" x14ac:dyDescent="0.25">
      <c r="A43" s="13"/>
    </row>
    <row r="44" spans="1:5" x14ac:dyDescent="0.25">
      <c r="A44" s="13"/>
    </row>
    <row r="45" spans="1:5" x14ac:dyDescent="0.25">
      <c r="A45" s="13"/>
    </row>
    <row r="46" spans="1:5" x14ac:dyDescent="0.25">
      <c r="A46" s="13"/>
    </row>
    <row r="47" spans="1:5" x14ac:dyDescent="0.25">
      <c r="A47" s="13"/>
    </row>
    <row r="48" spans="1:5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  <row r="543" spans="1:1" x14ac:dyDescent="0.25">
      <c r="A543" s="13"/>
    </row>
    <row r="544" spans="1:1" x14ac:dyDescent="0.25">
      <c r="A544" s="13"/>
    </row>
    <row r="545" spans="1:1" x14ac:dyDescent="0.25">
      <c r="A545" s="13"/>
    </row>
    <row r="546" spans="1:1" x14ac:dyDescent="0.25">
      <c r="A546" s="13"/>
    </row>
    <row r="547" spans="1:1" x14ac:dyDescent="0.25">
      <c r="A547" s="13"/>
    </row>
    <row r="548" spans="1:1" x14ac:dyDescent="0.25">
      <c r="A548" s="13"/>
    </row>
    <row r="549" spans="1:1" x14ac:dyDescent="0.25">
      <c r="A549" s="13"/>
    </row>
    <row r="550" spans="1:1" x14ac:dyDescent="0.25">
      <c r="A550" s="13"/>
    </row>
    <row r="551" spans="1:1" x14ac:dyDescent="0.25">
      <c r="A551" s="13"/>
    </row>
    <row r="552" spans="1:1" x14ac:dyDescent="0.25">
      <c r="A552" s="13"/>
    </row>
    <row r="553" spans="1:1" x14ac:dyDescent="0.25">
      <c r="A553" s="13"/>
    </row>
    <row r="554" spans="1:1" x14ac:dyDescent="0.25">
      <c r="A554" s="13"/>
    </row>
    <row r="555" spans="1:1" x14ac:dyDescent="0.25">
      <c r="A555" s="13"/>
    </row>
    <row r="556" spans="1:1" x14ac:dyDescent="0.25">
      <c r="A556" s="13"/>
    </row>
    <row r="557" spans="1:1" x14ac:dyDescent="0.25">
      <c r="A557" s="13"/>
    </row>
    <row r="558" spans="1:1" x14ac:dyDescent="0.25">
      <c r="A558" s="13"/>
    </row>
    <row r="559" spans="1:1" x14ac:dyDescent="0.25">
      <c r="A559" s="13"/>
    </row>
    <row r="560" spans="1:1" x14ac:dyDescent="0.25">
      <c r="A560" s="13"/>
    </row>
    <row r="561" spans="1:1" x14ac:dyDescent="0.25">
      <c r="A561" s="13"/>
    </row>
    <row r="562" spans="1:1" x14ac:dyDescent="0.25">
      <c r="A562" s="13"/>
    </row>
    <row r="563" spans="1:1" x14ac:dyDescent="0.25">
      <c r="A563" s="13"/>
    </row>
    <row r="564" spans="1:1" x14ac:dyDescent="0.25">
      <c r="A564" s="13"/>
    </row>
    <row r="565" spans="1:1" x14ac:dyDescent="0.25">
      <c r="A565" s="13"/>
    </row>
    <row r="566" spans="1:1" x14ac:dyDescent="0.25">
      <c r="A566" s="13"/>
    </row>
    <row r="567" spans="1:1" x14ac:dyDescent="0.25">
      <c r="A567" s="13"/>
    </row>
    <row r="568" spans="1:1" x14ac:dyDescent="0.25">
      <c r="A568" s="13"/>
    </row>
    <row r="569" spans="1:1" x14ac:dyDescent="0.25">
      <c r="A569" s="13"/>
    </row>
    <row r="570" spans="1:1" x14ac:dyDescent="0.25">
      <c r="A570" s="13"/>
    </row>
    <row r="571" spans="1:1" x14ac:dyDescent="0.25">
      <c r="A571" s="13"/>
    </row>
    <row r="572" spans="1:1" x14ac:dyDescent="0.25">
      <c r="A572" s="13"/>
    </row>
    <row r="573" spans="1:1" x14ac:dyDescent="0.25">
      <c r="A573" s="13"/>
    </row>
    <row r="574" spans="1:1" x14ac:dyDescent="0.25">
      <c r="A574" s="13"/>
    </row>
    <row r="575" spans="1:1" x14ac:dyDescent="0.25">
      <c r="A575" s="13"/>
    </row>
    <row r="576" spans="1:1" x14ac:dyDescent="0.25">
      <c r="A576" s="13"/>
    </row>
    <row r="577" spans="1:1" x14ac:dyDescent="0.25">
      <c r="A577" s="13"/>
    </row>
    <row r="578" spans="1:1" x14ac:dyDescent="0.25">
      <c r="A578" s="13"/>
    </row>
    <row r="579" spans="1:1" x14ac:dyDescent="0.25">
      <c r="A579" s="13"/>
    </row>
    <row r="580" spans="1:1" x14ac:dyDescent="0.25">
      <c r="A580" s="13"/>
    </row>
    <row r="581" spans="1:1" x14ac:dyDescent="0.25">
      <c r="A581" s="13"/>
    </row>
    <row r="582" spans="1:1" x14ac:dyDescent="0.25">
      <c r="A582" s="13"/>
    </row>
    <row r="583" spans="1:1" x14ac:dyDescent="0.25">
      <c r="A583" s="13"/>
    </row>
    <row r="584" spans="1:1" x14ac:dyDescent="0.25">
      <c r="A584" s="13"/>
    </row>
    <row r="585" spans="1:1" x14ac:dyDescent="0.25">
      <c r="A585" s="13"/>
    </row>
    <row r="586" spans="1:1" x14ac:dyDescent="0.25">
      <c r="A586" s="13"/>
    </row>
    <row r="587" spans="1:1" x14ac:dyDescent="0.25">
      <c r="A587" s="13"/>
    </row>
    <row r="588" spans="1:1" x14ac:dyDescent="0.25">
      <c r="A588" s="13"/>
    </row>
    <row r="589" spans="1:1" x14ac:dyDescent="0.25">
      <c r="A589" s="13"/>
    </row>
    <row r="590" spans="1:1" x14ac:dyDescent="0.25">
      <c r="A590" s="13"/>
    </row>
    <row r="591" spans="1:1" x14ac:dyDescent="0.25">
      <c r="A591" s="13"/>
    </row>
    <row r="592" spans="1:1" x14ac:dyDescent="0.25">
      <c r="A592" s="13"/>
    </row>
    <row r="593" spans="1:1" x14ac:dyDescent="0.25">
      <c r="A593" s="13"/>
    </row>
    <row r="594" spans="1:1" x14ac:dyDescent="0.25">
      <c r="A594" s="13"/>
    </row>
    <row r="595" spans="1:1" x14ac:dyDescent="0.25">
      <c r="A595" s="13"/>
    </row>
    <row r="596" spans="1:1" x14ac:dyDescent="0.25">
      <c r="A596" s="13"/>
    </row>
    <row r="597" spans="1:1" x14ac:dyDescent="0.25">
      <c r="A597" s="13"/>
    </row>
    <row r="598" spans="1:1" x14ac:dyDescent="0.25">
      <c r="A598" s="13"/>
    </row>
    <row r="599" spans="1:1" x14ac:dyDescent="0.25">
      <c r="A599" s="13"/>
    </row>
    <row r="600" spans="1:1" x14ac:dyDescent="0.25">
      <c r="A600" s="13"/>
    </row>
    <row r="601" spans="1:1" x14ac:dyDescent="0.25">
      <c r="A601" s="13"/>
    </row>
    <row r="602" spans="1:1" x14ac:dyDescent="0.25">
      <c r="A602" s="13"/>
    </row>
    <row r="603" spans="1:1" x14ac:dyDescent="0.25">
      <c r="A603" s="13"/>
    </row>
    <row r="604" spans="1:1" x14ac:dyDescent="0.25">
      <c r="A604" s="13"/>
    </row>
    <row r="605" spans="1:1" x14ac:dyDescent="0.25">
      <c r="A605" s="13"/>
    </row>
    <row r="606" spans="1:1" x14ac:dyDescent="0.25">
      <c r="A606" s="13"/>
    </row>
    <row r="607" spans="1:1" x14ac:dyDescent="0.25">
      <c r="A607" s="13"/>
    </row>
    <row r="608" spans="1:1" x14ac:dyDescent="0.25">
      <c r="A608" s="13"/>
    </row>
    <row r="609" spans="1:1" x14ac:dyDescent="0.25">
      <c r="A609" s="13"/>
    </row>
    <row r="610" spans="1:1" x14ac:dyDescent="0.25">
      <c r="A610" s="13"/>
    </row>
    <row r="611" spans="1:1" x14ac:dyDescent="0.25">
      <c r="A611" s="13"/>
    </row>
    <row r="612" spans="1:1" x14ac:dyDescent="0.25">
      <c r="A612" s="13"/>
    </row>
    <row r="613" spans="1:1" x14ac:dyDescent="0.25">
      <c r="A613" s="13"/>
    </row>
    <row r="614" spans="1:1" x14ac:dyDescent="0.25">
      <c r="A614" s="13"/>
    </row>
    <row r="615" spans="1:1" x14ac:dyDescent="0.25">
      <c r="A615" s="13"/>
    </row>
    <row r="616" spans="1:1" x14ac:dyDescent="0.25">
      <c r="A616" s="13"/>
    </row>
    <row r="617" spans="1:1" x14ac:dyDescent="0.25">
      <c r="A617" s="13"/>
    </row>
    <row r="618" spans="1:1" x14ac:dyDescent="0.25">
      <c r="A618" s="13"/>
    </row>
    <row r="619" spans="1:1" x14ac:dyDescent="0.25">
      <c r="A619" s="13"/>
    </row>
    <row r="620" spans="1:1" x14ac:dyDescent="0.25">
      <c r="A620" s="13"/>
    </row>
    <row r="621" spans="1:1" x14ac:dyDescent="0.25">
      <c r="A621" s="13"/>
    </row>
    <row r="622" spans="1:1" x14ac:dyDescent="0.25">
      <c r="A622" s="13"/>
    </row>
    <row r="623" spans="1:1" x14ac:dyDescent="0.25">
      <c r="A623" s="13"/>
    </row>
    <row r="624" spans="1:1" x14ac:dyDescent="0.25">
      <c r="A624" s="13"/>
    </row>
    <row r="625" spans="1:1" x14ac:dyDescent="0.25">
      <c r="A625" s="13"/>
    </row>
    <row r="626" spans="1:1" x14ac:dyDescent="0.25">
      <c r="A626" s="13"/>
    </row>
    <row r="627" spans="1:1" x14ac:dyDescent="0.25">
      <c r="A627" s="13"/>
    </row>
    <row r="628" spans="1:1" x14ac:dyDescent="0.25">
      <c r="A628" s="13"/>
    </row>
    <row r="629" spans="1:1" x14ac:dyDescent="0.25">
      <c r="A629" s="13"/>
    </row>
    <row r="630" spans="1:1" x14ac:dyDescent="0.25">
      <c r="A630" s="13"/>
    </row>
    <row r="631" spans="1:1" x14ac:dyDescent="0.25">
      <c r="A631" s="13"/>
    </row>
    <row r="632" spans="1:1" x14ac:dyDescent="0.25">
      <c r="A632" s="13"/>
    </row>
    <row r="633" spans="1:1" x14ac:dyDescent="0.25">
      <c r="A633" s="13"/>
    </row>
    <row r="634" spans="1:1" x14ac:dyDescent="0.25">
      <c r="A634" s="13"/>
    </row>
    <row r="635" spans="1:1" x14ac:dyDescent="0.25">
      <c r="A635" s="13"/>
    </row>
    <row r="636" spans="1:1" x14ac:dyDescent="0.25">
      <c r="A636" s="13"/>
    </row>
    <row r="637" spans="1:1" x14ac:dyDescent="0.25">
      <c r="A637" s="13"/>
    </row>
    <row r="638" spans="1:1" x14ac:dyDescent="0.25">
      <c r="A638" s="13"/>
    </row>
    <row r="639" spans="1:1" x14ac:dyDescent="0.25">
      <c r="A639" s="13"/>
    </row>
    <row r="640" spans="1:1" x14ac:dyDescent="0.25">
      <c r="A640" s="13"/>
    </row>
    <row r="641" spans="1:1" x14ac:dyDescent="0.25">
      <c r="A641" s="13"/>
    </row>
    <row r="642" spans="1:1" x14ac:dyDescent="0.25">
      <c r="A642" s="13"/>
    </row>
    <row r="643" spans="1:1" x14ac:dyDescent="0.25">
      <c r="A643" s="13"/>
    </row>
    <row r="644" spans="1:1" x14ac:dyDescent="0.25">
      <c r="A644" s="13"/>
    </row>
    <row r="645" spans="1:1" x14ac:dyDescent="0.25">
      <c r="A645" s="13"/>
    </row>
    <row r="646" spans="1:1" x14ac:dyDescent="0.25">
      <c r="A646" s="13"/>
    </row>
    <row r="647" spans="1:1" x14ac:dyDescent="0.25">
      <c r="A647" s="13"/>
    </row>
    <row r="648" spans="1:1" x14ac:dyDescent="0.25">
      <c r="A648" s="13"/>
    </row>
    <row r="649" spans="1:1" x14ac:dyDescent="0.25">
      <c r="A649" s="13"/>
    </row>
    <row r="650" spans="1:1" x14ac:dyDescent="0.25">
      <c r="A650" s="13"/>
    </row>
    <row r="651" spans="1:1" x14ac:dyDescent="0.25">
      <c r="A651" s="13"/>
    </row>
    <row r="652" spans="1:1" x14ac:dyDescent="0.25">
      <c r="A652" s="13"/>
    </row>
    <row r="653" spans="1:1" x14ac:dyDescent="0.25">
      <c r="A653" s="13"/>
    </row>
    <row r="654" spans="1:1" x14ac:dyDescent="0.25">
      <c r="A654" s="13"/>
    </row>
    <row r="655" spans="1:1" x14ac:dyDescent="0.25">
      <c r="A655" s="13"/>
    </row>
    <row r="656" spans="1:1" x14ac:dyDescent="0.25">
      <c r="A656" s="13"/>
    </row>
    <row r="657" spans="1:1" x14ac:dyDescent="0.25">
      <c r="A657" s="13"/>
    </row>
    <row r="658" spans="1:1" x14ac:dyDescent="0.25">
      <c r="A658" s="13"/>
    </row>
    <row r="659" spans="1:1" x14ac:dyDescent="0.25">
      <c r="A659" s="13"/>
    </row>
    <row r="660" spans="1:1" x14ac:dyDescent="0.25">
      <c r="A660" s="13"/>
    </row>
    <row r="661" spans="1:1" x14ac:dyDescent="0.25">
      <c r="A661" s="13"/>
    </row>
    <row r="662" spans="1:1" x14ac:dyDescent="0.25">
      <c r="A662" s="13"/>
    </row>
    <row r="663" spans="1:1" x14ac:dyDescent="0.25">
      <c r="A663" s="13"/>
    </row>
    <row r="664" spans="1:1" x14ac:dyDescent="0.25">
      <c r="A664" s="13"/>
    </row>
    <row r="665" spans="1:1" x14ac:dyDescent="0.25">
      <c r="A665" s="13"/>
    </row>
    <row r="666" spans="1:1" x14ac:dyDescent="0.25">
      <c r="A666" s="13"/>
    </row>
    <row r="667" spans="1:1" x14ac:dyDescent="0.25">
      <c r="A667" s="13"/>
    </row>
    <row r="668" spans="1:1" x14ac:dyDescent="0.25">
      <c r="A668" s="13"/>
    </row>
    <row r="669" spans="1:1" x14ac:dyDescent="0.25">
      <c r="A669" s="13"/>
    </row>
    <row r="670" spans="1:1" x14ac:dyDescent="0.25">
      <c r="A670" s="13"/>
    </row>
    <row r="671" spans="1:1" x14ac:dyDescent="0.25">
      <c r="A671" s="13"/>
    </row>
    <row r="672" spans="1:1" x14ac:dyDescent="0.25">
      <c r="A672" s="13"/>
    </row>
    <row r="673" spans="1:1" x14ac:dyDescent="0.25">
      <c r="A673" s="13"/>
    </row>
    <row r="674" spans="1:1" x14ac:dyDescent="0.25">
      <c r="A674" s="13"/>
    </row>
    <row r="675" spans="1:1" x14ac:dyDescent="0.25">
      <c r="A675" s="13"/>
    </row>
    <row r="676" spans="1:1" x14ac:dyDescent="0.25">
      <c r="A676" s="13"/>
    </row>
    <row r="677" spans="1:1" x14ac:dyDescent="0.25">
      <c r="A677" s="13"/>
    </row>
    <row r="678" spans="1:1" x14ac:dyDescent="0.25">
      <c r="A678" s="13"/>
    </row>
    <row r="679" spans="1:1" x14ac:dyDescent="0.25">
      <c r="A679" s="13"/>
    </row>
    <row r="680" spans="1:1" x14ac:dyDescent="0.25">
      <c r="A680" s="13"/>
    </row>
    <row r="681" spans="1:1" x14ac:dyDescent="0.25">
      <c r="A681" s="13"/>
    </row>
    <row r="682" spans="1:1" x14ac:dyDescent="0.25">
      <c r="A682" s="13"/>
    </row>
    <row r="683" spans="1:1" x14ac:dyDescent="0.25">
      <c r="A683" s="13"/>
    </row>
    <row r="684" spans="1:1" x14ac:dyDescent="0.25">
      <c r="A684" s="13"/>
    </row>
    <row r="685" spans="1:1" x14ac:dyDescent="0.25">
      <c r="A685" s="13"/>
    </row>
    <row r="686" spans="1:1" x14ac:dyDescent="0.25">
      <c r="A686" s="13"/>
    </row>
    <row r="687" spans="1:1" x14ac:dyDescent="0.25">
      <c r="A687" s="13"/>
    </row>
    <row r="688" spans="1:1" x14ac:dyDescent="0.25">
      <c r="A688" s="13"/>
    </row>
    <row r="689" spans="1:1" x14ac:dyDescent="0.25">
      <c r="A689" s="13"/>
    </row>
    <row r="690" spans="1:1" x14ac:dyDescent="0.25">
      <c r="A690" s="13"/>
    </row>
    <row r="691" spans="1:1" x14ac:dyDescent="0.25">
      <c r="A691" s="13"/>
    </row>
    <row r="692" spans="1:1" x14ac:dyDescent="0.25">
      <c r="A692" s="13"/>
    </row>
    <row r="693" spans="1:1" x14ac:dyDescent="0.25">
      <c r="A693" s="13"/>
    </row>
    <row r="694" spans="1:1" x14ac:dyDescent="0.25">
      <c r="A694" s="13"/>
    </row>
    <row r="695" spans="1:1" x14ac:dyDescent="0.25">
      <c r="A695" s="13"/>
    </row>
    <row r="696" spans="1:1" x14ac:dyDescent="0.25">
      <c r="A696" s="13"/>
    </row>
    <row r="697" spans="1:1" x14ac:dyDescent="0.25">
      <c r="A697" s="13"/>
    </row>
    <row r="698" spans="1:1" x14ac:dyDescent="0.25">
      <c r="A698" s="13"/>
    </row>
    <row r="699" spans="1:1" x14ac:dyDescent="0.25">
      <c r="A699" s="13"/>
    </row>
    <row r="700" spans="1:1" x14ac:dyDescent="0.25">
      <c r="A700" s="13"/>
    </row>
    <row r="701" spans="1:1" x14ac:dyDescent="0.25">
      <c r="A701" s="13"/>
    </row>
    <row r="702" spans="1:1" x14ac:dyDescent="0.25">
      <c r="A702" s="13"/>
    </row>
    <row r="703" spans="1:1" x14ac:dyDescent="0.25">
      <c r="A703" s="13"/>
    </row>
    <row r="704" spans="1:1" x14ac:dyDescent="0.25">
      <c r="A704" s="13"/>
    </row>
    <row r="705" spans="1:1" x14ac:dyDescent="0.25">
      <c r="A705" s="13"/>
    </row>
    <row r="706" spans="1:1" x14ac:dyDescent="0.25">
      <c r="A706" s="13"/>
    </row>
    <row r="707" spans="1:1" x14ac:dyDescent="0.25">
      <c r="A707" s="13"/>
    </row>
    <row r="708" spans="1:1" x14ac:dyDescent="0.25">
      <c r="A708" s="13"/>
    </row>
    <row r="709" spans="1:1" x14ac:dyDescent="0.25">
      <c r="A709" s="13"/>
    </row>
    <row r="710" spans="1:1" x14ac:dyDescent="0.25">
      <c r="A710" s="13"/>
    </row>
    <row r="711" spans="1:1" x14ac:dyDescent="0.25">
      <c r="A711" s="13"/>
    </row>
    <row r="712" spans="1:1" x14ac:dyDescent="0.25">
      <c r="A712" s="13"/>
    </row>
    <row r="713" spans="1:1" x14ac:dyDescent="0.25">
      <c r="A713" s="13"/>
    </row>
    <row r="714" spans="1:1" x14ac:dyDescent="0.25">
      <c r="A714" s="13"/>
    </row>
    <row r="715" spans="1:1" x14ac:dyDescent="0.25">
      <c r="A715" s="13"/>
    </row>
    <row r="716" spans="1:1" x14ac:dyDescent="0.25">
      <c r="A716" s="13"/>
    </row>
    <row r="717" spans="1:1" x14ac:dyDescent="0.25">
      <c r="A717" s="13"/>
    </row>
    <row r="718" spans="1:1" x14ac:dyDescent="0.25">
      <c r="A718" s="13"/>
    </row>
    <row r="719" spans="1:1" x14ac:dyDescent="0.25">
      <c r="A719" s="13"/>
    </row>
    <row r="720" spans="1:1" x14ac:dyDescent="0.25">
      <c r="A720" s="13"/>
    </row>
    <row r="721" spans="1:1" x14ac:dyDescent="0.25">
      <c r="A721" s="13"/>
    </row>
    <row r="722" spans="1:1" x14ac:dyDescent="0.25">
      <c r="A722" s="13"/>
    </row>
    <row r="723" spans="1:1" x14ac:dyDescent="0.25">
      <c r="A723" s="13"/>
    </row>
    <row r="724" spans="1:1" x14ac:dyDescent="0.25">
      <c r="A724" s="13"/>
    </row>
    <row r="725" spans="1:1" x14ac:dyDescent="0.25">
      <c r="A725" s="13"/>
    </row>
    <row r="726" spans="1:1" x14ac:dyDescent="0.25">
      <c r="A726" s="13"/>
    </row>
    <row r="727" spans="1:1" x14ac:dyDescent="0.25">
      <c r="A727" s="13"/>
    </row>
    <row r="728" spans="1:1" x14ac:dyDescent="0.25">
      <c r="A728" s="13"/>
    </row>
    <row r="729" spans="1:1" x14ac:dyDescent="0.25">
      <c r="A729" s="13"/>
    </row>
    <row r="730" spans="1:1" x14ac:dyDescent="0.25">
      <c r="A730" s="13"/>
    </row>
    <row r="731" spans="1:1" x14ac:dyDescent="0.25">
      <c r="A731" s="13"/>
    </row>
    <row r="732" spans="1:1" x14ac:dyDescent="0.25">
      <c r="A732" s="13"/>
    </row>
    <row r="733" spans="1:1" x14ac:dyDescent="0.25">
      <c r="A733" s="13"/>
    </row>
    <row r="734" spans="1:1" x14ac:dyDescent="0.25">
      <c r="A734" s="13"/>
    </row>
    <row r="735" spans="1:1" x14ac:dyDescent="0.25">
      <c r="A735" s="13"/>
    </row>
    <row r="736" spans="1:1" x14ac:dyDescent="0.25">
      <c r="A736" s="13"/>
    </row>
    <row r="737" spans="1:1" x14ac:dyDescent="0.25">
      <c r="A737" s="13"/>
    </row>
    <row r="738" spans="1:1" x14ac:dyDescent="0.25">
      <c r="A738" s="13"/>
    </row>
    <row r="739" spans="1:1" x14ac:dyDescent="0.25">
      <c r="A739" s="13"/>
    </row>
    <row r="740" spans="1:1" x14ac:dyDescent="0.25">
      <c r="A740" s="13"/>
    </row>
    <row r="741" spans="1:1" x14ac:dyDescent="0.25">
      <c r="A741" s="13"/>
    </row>
    <row r="742" spans="1:1" x14ac:dyDescent="0.25">
      <c r="A742" s="13"/>
    </row>
    <row r="743" spans="1:1" x14ac:dyDescent="0.25">
      <c r="A743" s="13"/>
    </row>
    <row r="744" spans="1:1" x14ac:dyDescent="0.25">
      <c r="A744" s="13"/>
    </row>
    <row r="745" spans="1:1" x14ac:dyDescent="0.25">
      <c r="A745" s="13"/>
    </row>
    <row r="746" spans="1:1" x14ac:dyDescent="0.25">
      <c r="A746" s="13"/>
    </row>
    <row r="747" spans="1:1" x14ac:dyDescent="0.25">
      <c r="A747" s="13"/>
    </row>
    <row r="748" spans="1:1" x14ac:dyDescent="0.25">
      <c r="A748" s="13"/>
    </row>
    <row r="749" spans="1:1" x14ac:dyDescent="0.25">
      <c r="A749" s="13"/>
    </row>
    <row r="750" spans="1:1" x14ac:dyDescent="0.25">
      <c r="A750" s="13"/>
    </row>
    <row r="751" spans="1:1" x14ac:dyDescent="0.25">
      <c r="A751" s="13"/>
    </row>
    <row r="752" spans="1:1" x14ac:dyDescent="0.25">
      <c r="A752" s="13"/>
    </row>
    <row r="753" spans="1:1" x14ac:dyDescent="0.25">
      <c r="A753" s="13"/>
    </row>
    <row r="754" spans="1:1" x14ac:dyDescent="0.25">
      <c r="A754" s="13"/>
    </row>
    <row r="755" spans="1:1" x14ac:dyDescent="0.25">
      <c r="A755" s="13"/>
    </row>
    <row r="756" spans="1:1" x14ac:dyDescent="0.25">
      <c r="A756" s="13"/>
    </row>
    <row r="757" spans="1:1" x14ac:dyDescent="0.25">
      <c r="A757" s="13"/>
    </row>
    <row r="758" spans="1:1" x14ac:dyDescent="0.25">
      <c r="A758" s="13"/>
    </row>
    <row r="759" spans="1:1" x14ac:dyDescent="0.25">
      <c r="A759" s="13"/>
    </row>
    <row r="760" spans="1:1" x14ac:dyDescent="0.25">
      <c r="A760" s="13"/>
    </row>
    <row r="761" spans="1:1" x14ac:dyDescent="0.25">
      <c r="A761" s="13"/>
    </row>
    <row r="762" spans="1:1" x14ac:dyDescent="0.25">
      <c r="A762" s="13"/>
    </row>
    <row r="763" spans="1:1" x14ac:dyDescent="0.25">
      <c r="A763" s="13"/>
    </row>
    <row r="764" spans="1:1" x14ac:dyDescent="0.25">
      <c r="A764" s="13"/>
    </row>
    <row r="765" spans="1:1" x14ac:dyDescent="0.25">
      <c r="A765" s="13"/>
    </row>
    <row r="766" spans="1:1" x14ac:dyDescent="0.25">
      <c r="A766" s="13"/>
    </row>
    <row r="767" spans="1:1" x14ac:dyDescent="0.25">
      <c r="A767" s="13"/>
    </row>
    <row r="768" spans="1:1" x14ac:dyDescent="0.25">
      <c r="A768" s="13"/>
    </row>
    <row r="769" spans="1:1" x14ac:dyDescent="0.25">
      <c r="A769" s="13"/>
    </row>
    <row r="770" spans="1:1" x14ac:dyDescent="0.25">
      <c r="A770" s="13"/>
    </row>
    <row r="771" spans="1:1" x14ac:dyDescent="0.25">
      <c r="A771" s="13"/>
    </row>
    <row r="772" spans="1:1" x14ac:dyDescent="0.25">
      <c r="A772" s="13"/>
    </row>
    <row r="773" spans="1:1" x14ac:dyDescent="0.25">
      <c r="A773" s="13"/>
    </row>
    <row r="774" spans="1:1" x14ac:dyDescent="0.25">
      <c r="A774" s="13"/>
    </row>
    <row r="775" spans="1:1" x14ac:dyDescent="0.25">
      <c r="A775" s="13"/>
    </row>
    <row r="776" spans="1:1" x14ac:dyDescent="0.25">
      <c r="A776" s="13"/>
    </row>
    <row r="777" spans="1:1" x14ac:dyDescent="0.25">
      <c r="A777" s="13"/>
    </row>
    <row r="778" spans="1:1" x14ac:dyDescent="0.25">
      <c r="A778" s="13"/>
    </row>
    <row r="779" spans="1:1" x14ac:dyDescent="0.25">
      <c r="A779" s="13"/>
    </row>
    <row r="780" spans="1:1" x14ac:dyDescent="0.25">
      <c r="A780" s="13"/>
    </row>
    <row r="781" spans="1:1" x14ac:dyDescent="0.25">
      <c r="A781" s="13"/>
    </row>
    <row r="782" spans="1:1" x14ac:dyDescent="0.25">
      <c r="A782" s="13"/>
    </row>
    <row r="783" spans="1:1" x14ac:dyDescent="0.25">
      <c r="A783" s="13"/>
    </row>
    <row r="784" spans="1:1" x14ac:dyDescent="0.25">
      <c r="A784" s="13"/>
    </row>
    <row r="785" spans="1:1" x14ac:dyDescent="0.25">
      <c r="A785" s="13"/>
    </row>
    <row r="786" spans="1:1" x14ac:dyDescent="0.25">
      <c r="A786" s="1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  <row r="1307" spans="1:1" x14ac:dyDescent="0.25">
      <c r="A1307" s="13"/>
    </row>
    <row r="1308" spans="1:1" x14ac:dyDescent="0.25">
      <c r="A1308" s="13"/>
    </row>
    <row r="1309" spans="1:1" x14ac:dyDescent="0.25">
      <c r="A1309" s="13"/>
    </row>
    <row r="1310" spans="1:1" x14ac:dyDescent="0.25">
      <c r="A1310" s="13"/>
    </row>
    <row r="1311" spans="1:1" x14ac:dyDescent="0.25">
      <c r="A1311" s="13"/>
    </row>
    <row r="1312" spans="1:1" x14ac:dyDescent="0.25">
      <c r="A1312" s="13"/>
    </row>
    <row r="1313" spans="1:1" x14ac:dyDescent="0.25">
      <c r="A1313" s="13"/>
    </row>
    <row r="1314" spans="1:1" x14ac:dyDescent="0.25">
      <c r="A1314" s="13"/>
    </row>
    <row r="1315" spans="1:1" x14ac:dyDescent="0.25">
      <c r="A1315" s="13"/>
    </row>
    <row r="1316" spans="1:1" x14ac:dyDescent="0.25">
      <c r="A1316" s="13"/>
    </row>
    <row r="1317" spans="1:1" x14ac:dyDescent="0.25">
      <c r="A1317" s="13"/>
    </row>
    <row r="1318" spans="1:1" x14ac:dyDescent="0.25">
      <c r="A1318" s="13"/>
    </row>
    <row r="1319" spans="1:1" x14ac:dyDescent="0.25">
      <c r="A1319" s="13"/>
    </row>
    <row r="1320" spans="1:1" x14ac:dyDescent="0.25">
      <c r="A1320" s="13"/>
    </row>
    <row r="1321" spans="1:1" x14ac:dyDescent="0.25">
      <c r="A1321" s="13"/>
    </row>
    <row r="1322" spans="1:1" x14ac:dyDescent="0.25">
      <c r="A1322" s="13"/>
    </row>
    <row r="1323" spans="1:1" x14ac:dyDescent="0.25">
      <c r="A1323" s="13"/>
    </row>
    <row r="1324" spans="1:1" x14ac:dyDescent="0.25">
      <c r="A1324" s="13"/>
    </row>
    <row r="1325" spans="1:1" x14ac:dyDescent="0.25">
      <c r="A1325" s="13"/>
    </row>
    <row r="1326" spans="1:1" x14ac:dyDescent="0.25">
      <c r="A1326" s="13"/>
    </row>
    <row r="1327" spans="1:1" x14ac:dyDescent="0.25">
      <c r="A1327" s="13"/>
    </row>
    <row r="1328" spans="1:1" x14ac:dyDescent="0.25">
      <c r="A1328" s="13"/>
    </row>
    <row r="1329" spans="1:1" x14ac:dyDescent="0.25">
      <c r="A1329" s="13"/>
    </row>
    <row r="1330" spans="1:1" x14ac:dyDescent="0.25">
      <c r="A1330" s="13"/>
    </row>
    <row r="1331" spans="1:1" x14ac:dyDescent="0.25">
      <c r="A1331" s="13"/>
    </row>
    <row r="1332" spans="1:1" x14ac:dyDescent="0.25">
      <c r="A1332" s="13"/>
    </row>
    <row r="1333" spans="1:1" x14ac:dyDescent="0.25">
      <c r="A1333" s="13"/>
    </row>
    <row r="1334" spans="1:1" x14ac:dyDescent="0.25">
      <c r="A1334" s="13"/>
    </row>
    <row r="1335" spans="1:1" x14ac:dyDescent="0.25">
      <c r="A1335" s="13"/>
    </row>
    <row r="1336" spans="1:1" x14ac:dyDescent="0.25">
      <c r="A1336" s="13"/>
    </row>
    <row r="1337" spans="1:1" x14ac:dyDescent="0.25">
      <c r="A1337" s="13"/>
    </row>
    <row r="1338" spans="1:1" x14ac:dyDescent="0.25">
      <c r="A1338" s="13"/>
    </row>
    <row r="1339" spans="1:1" x14ac:dyDescent="0.25">
      <c r="A1339" s="13"/>
    </row>
    <row r="1340" spans="1:1" x14ac:dyDescent="0.25">
      <c r="A1340" s="13"/>
    </row>
    <row r="1341" spans="1:1" x14ac:dyDescent="0.25">
      <c r="A1341" s="13"/>
    </row>
    <row r="1342" spans="1:1" x14ac:dyDescent="0.25">
      <c r="A1342" s="13"/>
    </row>
    <row r="1343" spans="1:1" x14ac:dyDescent="0.25">
      <c r="A1343" s="13"/>
    </row>
    <row r="1344" spans="1:1" x14ac:dyDescent="0.25">
      <c r="A1344" s="13"/>
    </row>
    <row r="1345" spans="1:1" x14ac:dyDescent="0.25">
      <c r="A1345" s="13"/>
    </row>
    <row r="1346" spans="1:1" x14ac:dyDescent="0.25">
      <c r="A1346" s="13"/>
    </row>
    <row r="1347" spans="1:1" x14ac:dyDescent="0.25">
      <c r="A1347" s="13"/>
    </row>
    <row r="1348" spans="1:1" x14ac:dyDescent="0.25">
      <c r="A1348" s="13"/>
    </row>
    <row r="1349" spans="1:1" x14ac:dyDescent="0.25">
      <c r="A1349" s="13"/>
    </row>
    <row r="1350" spans="1:1" x14ac:dyDescent="0.25">
      <c r="A1350" s="13"/>
    </row>
    <row r="1351" spans="1:1" x14ac:dyDescent="0.25">
      <c r="A1351" s="13"/>
    </row>
    <row r="1352" spans="1:1" x14ac:dyDescent="0.25">
      <c r="A1352" s="13"/>
    </row>
    <row r="1353" spans="1:1" x14ac:dyDescent="0.25">
      <c r="A1353" s="13"/>
    </row>
    <row r="1354" spans="1:1" x14ac:dyDescent="0.25">
      <c r="A1354" s="13"/>
    </row>
    <row r="1355" spans="1:1" x14ac:dyDescent="0.25">
      <c r="A1355" s="13"/>
    </row>
    <row r="1356" spans="1:1" x14ac:dyDescent="0.25">
      <c r="A1356" s="13"/>
    </row>
    <row r="1357" spans="1:1" x14ac:dyDescent="0.25">
      <c r="A1357" s="13"/>
    </row>
  </sheetData>
  <mergeCells count="1">
    <mergeCell ref="A1:F1"/>
  </mergeCells>
  <phoneticPr fontId="9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G91"/>
  <sheetViews>
    <sheetView workbookViewId="0">
      <selection activeCell="I6" sqref="I6"/>
    </sheetView>
  </sheetViews>
  <sheetFormatPr baseColWidth="10" defaultColWidth="9.140625" defaultRowHeight="15" x14ac:dyDescent="0.25"/>
  <cols>
    <col min="2" max="2" width="18" customWidth="1"/>
    <col min="5" max="5" width="4.140625" bestFit="1" customWidth="1"/>
    <col min="6" max="7" width="9.140625" style="74"/>
  </cols>
  <sheetData>
    <row r="1" spans="1:7" x14ac:dyDescent="0.25">
      <c r="A1" s="63" t="s">
        <v>42</v>
      </c>
      <c r="B1" s="63"/>
      <c r="C1" s="63"/>
      <c r="D1" s="63"/>
      <c r="E1" s="63"/>
      <c r="F1" s="63"/>
      <c r="G1" s="63"/>
    </row>
    <row r="2" spans="1:7" x14ac:dyDescent="0.25">
      <c r="A2" s="1" t="s">
        <v>6</v>
      </c>
      <c r="B2" s="1" t="s">
        <v>43</v>
      </c>
      <c r="C2" s="1" t="s">
        <v>13</v>
      </c>
      <c r="D2" s="1" t="s">
        <v>4</v>
      </c>
      <c r="E2" s="1" t="s">
        <v>5</v>
      </c>
      <c r="F2" s="1" t="s">
        <v>16</v>
      </c>
      <c r="G2" s="1" t="s">
        <v>2</v>
      </c>
    </row>
    <row r="3" spans="1:7" x14ac:dyDescent="0.25">
      <c r="A3">
        <v>1040</v>
      </c>
      <c r="B3" s="2">
        <v>44997.48642361111</v>
      </c>
      <c r="D3" t="s">
        <v>45</v>
      </c>
      <c r="E3">
        <v>1</v>
      </c>
      <c r="F3" s="74">
        <v>14.5</v>
      </c>
      <c r="G3" s="74">
        <v>14.5</v>
      </c>
    </row>
    <row r="4" spans="1:7" x14ac:dyDescent="0.25">
      <c r="A4">
        <v>1040</v>
      </c>
      <c r="B4" s="2">
        <v>44997.48642361111</v>
      </c>
      <c r="D4" t="s">
        <v>41</v>
      </c>
      <c r="E4">
        <v>1</v>
      </c>
      <c r="F4" s="74">
        <v>13.5</v>
      </c>
      <c r="G4" s="74">
        <v>13.5</v>
      </c>
    </row>
    <row r="5" spans="1:7" x14ac:dyDescent="0.25">
      <c r="B5" s="2"/>
    </row>
    <row r="6" spans="1:7" x14ac:dyDescent="0.25">
      <c r="B6" s="2"/>
    </row>
    <row r="7" spans="1:7" x14ac:dyDescent="0.25">
      <c r="B7" s="2"/>
    </row>
    <row r="8" spans="1:7" x14ac:dyDescent="0.25">
      <c r="B8" s="2"/>
    </row>
    <row r="9" spans="1:7" x14ac:dyDescent="0.25">
      <c r="B9" s="2"/>
    </row>
    <row r="10" spans="1:7" x14ac:dyDescent="0.25">
      <c r="B10" s="2"/>
    </row>
    <row r="11" spans="1:7" x14ac:dyDescent="0.25">
      <c r="B11" s="2"/>
    </row>
    <row r="12" spans="1:7" x14ac:dyDescent="0.25">
      <c r="B12" s="2"/>
    </row>
    <row r="13" spans="1:7" x14ac:dyDescent="0.25">
      <c r="B13" s="2"/>
    </row>
    <row r="14" spans="1:7" x14ac:dyDescent="0.25">
      <c r="B14" s="2"/>
    </row>
    <row r="15" spans="1:7" x14ac:dyDescent="0.25">
      <c r="B15" s="2"/>
    </row>
    <row r="16" spans="1:7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EF103-47C8-4378-8BC3-09678192AB6E}">
  <sheetPr codeName="Hoja1">
    <tabColor rgb="FFFFC000"/>
  </sheetPr>
  <dimension ref="A1:F2"/>
  <sheetViews>
    <sheetView workbookViewId="0">
      <selection activeCell="F2" sqref="F2"/>
    </sheetView>
  </sheetViews>
  <sheetFormatPr baseColWidth="10" defaultRowHeight="15" x14ac:dyDescent="0.25"/>
  <cols>
    <col min="1" max="1" width="27.28515625" customWidth="1"/>
    <col min="2" max="2" width="32" customWidth="1"/>
    <col min="3" max="3" width="21.140625" customWidth="1"/>
    <col min="4" max="4" width="18.7109375" customWidth="1"/>
  </cols>
  <sheetData>
    <row r="1" spans="1:6" x14ac:dyDescent="0.25">
      <c r="A1" t="s">
        <v>8</v>
      </c>
      <c r="B1" t="s">
        <v>9</v>
      </c>
      <c r="C1" t="s">
        <v>10</v>
      </c>
      <c r="D1" t="s">
        <v>13</v>
      </c>
      <c r="E1" t="s">
        <v>27</v>
      </c>
      <c r="F1" t="s">
        <v>36</v>
      </c>
    </row>
    <row r="2" spans="1:6" x14ac:dyDescent="0.25">
      <c r="A2" t="s">
        <v>39</v>
      </c>
      <c r="B2" t="s">
        <v>40</v>
      </c>
      <c r="C2">
        <v>985452429</v>
      </c>
      <c r="E2">
        <v>0</v>
      </c>
      <c r="F2">
        <v>150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POS</vt:lpstr>
      <vt:lpstr>Items</vt:lpstr>
      <vt:lpstr>Sales</vt:lpstr>
      <vt:lpstr>Empresa</vt:lpstr>
      <vt:lpstr>POS!Área_de_impresión</vt:lpstr>
      <vt:lpstr>FooterRng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Musrha Tupadre</cp:lastModifiedBy>
  <cp:lastPrinted>2023-03-12T10:34:17Z</cp:lastPrinted>
  <dcterms:created xsi:type="dcterms:W3CDTF">2020-02-21T23:03:52Z</dcterms:created>
  <dcterms:modified xsi:type="dcterms:W3CDTF">2023-03-12T10:41:24Z</dcterms:modified>
</cp:coreProperties>
</file>